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ta-T1" sheetId="1" r:id="rId4"/>
    <sheet state="visible" name="Vista-T2" sheetId="2" r:id="rId5"/>
    <sheet state="visible" name="Vista-T3" sheetId="3" r:id="rId6"/>
    <sheet state="visible" name="Vista-T4" sheetId="4" r:id="rId7"/>
    <sheet state="visible" name="Vista-T5" sheetId="5" r:id="rId8"/>
  </sheets>
  <definedNames>
    <definedName hidden="1" localSheetId="0" name="_xlnm._FilterDatabase">'Vista-T1'!$I$1:$I$137</definedName>
    <definedName hidden="1" localSheetId="1" name="_xlnm._FilterDatabase">'Vista-T2'!$I$1:$I$140</definedName>
    <definedName hidden="1" localSheetId="4" name="_xlnm._FilterDatabase">'Vista-T5'!$I$1:$I$47</definedName>
  </definedNames>
  <calcPr/>
</workbook>
</file>

<file path=xl/sharedStrings.xml><?xml version="1.0" encoding="utf-8"?>
<sst xmlns="http://schemas.openxmlformats.org/spreadsheetml/2006/main" count="4834" uniqueCount="2537">
  <si>
    <t>TOWER 1</t>
  </si>
  <si>
    <t>Selling</t>
  </si>
  <si>
    <t>Name</t>
  </si>
  <si>
    <t>E-mail</t>
  </si>
  <si>
    <t>Tel No</t>
  </si>
  <si>
    <t>Phone</t>
  </si>
  <si>
    <t>Sex</t>
  </si>
  <si>
    <t>Birth</t>
  </si>
  <si>
    <t>Citizenship</t>
  </si>
  <si>
    <t>Agent</t>
  </si>
  <si>
    <t>Unit</t>
  </si>
  <si>
    <t>Price wVAT</t>
  </si>
  <si>
    <t>P1</t>
  </si>
  <si>
    <t>No P1</t>
  </si>
  <si>
    <t>T1-10A3</t>
  </si>
  <si>
    <t>133320,00</t>
  </si>
  <si>
    <t>NGUYEN VAN LINH</t>
  </si>
  <si>
    <t>M</t>
  </si>
  <si>
    <t>Vietnamese</t>
  </si>
  <si>
    <t>JASELYN WAN</t>
  </si>
  <si>
    <t>T1-10A4</t>
  </si>
  <si>
    <t>140140,00</t>
  </si>
  <si>
    <t>VO QUOC MINH</t>
  </si>
  <si>
    <t>MINHVQ2005@YAHOO.COM</t>
  </si>
  <si>
    <t>T1-10B1</t>
  </si>
  <si>
    <t>184030,00</t>
  </si>
  <si>
    <t>HOANG VIET QUANG</t>
  </si>
  <si>
    <t>HOANGVIETQUANG@YAHOO.COM</t>
  </si>
  <si>
    <t>T1-10B2</t>
  </si>
  <si>
    <t>186670,00</t>
  </si>
  <si>
    <t>LE HOANG THONG</t>
  </si>
  <si>
    <t>CIDECO1@YAHOO.COM</t>
  </si>
  <si>
    <t>T1-10B5</t>
  </si>
  <si>
    <t>177650,00</t>
  </si>
  <si>
    <t>QUACH TAN PHU</t>
  </si>
  <si>
    <t>T1-10B6</t>
  </si>
  <si>
    <t>193270,00</t>
  </si>
  <si>
    <t>DO THI TAN HANG</t>
  </si>
  <si>
    <t>TAN_HANG@YAHOO.COM</t>
  </si>
  <si>
    <t>0902 086 565</t>
  </si>
  <si>
    <t>F</t>
  </si>
  <si>
    <t>DANG NGOC CHAU</t>
  </si>
  <si>
    <t>T1-11A3</t>
  </si>
  <si>
    <t>135190,00</t>
  </si>
  <si>
    <t>DANG THI NHU QUYNH</t>
  </si>
  <si>
    <t>NHUQUYNH167@YAHOO.COM</t>
  </si>
  <si>
    <t>T1-11A4</t>
  </si>
  <si>
    <t>142120,00</t>
  </si>
  <si>
    <t>LAM THI THANH HIEN</t>
  </si>
  <si>
    <t>LAMTHANH_HIEN@YAHOO.COM</t>
  </si>
  <si>
    <t>T1-11B1</t>
  </si>
  <si>
    <t>186560,00</t>
  </si>
  <si>
    <t>T1-11B2</t>
  </si>
  <si>
    <t>189310,00</t>
  </si>
  <si>
    <t>NGUYEN DANG THANH</t>
  </si>
  <si>
    <t>THANHND@VINCOMJSC.COM</t>
  </si>
  <si>
    <t>MAI DUC PHU</t>
  </si>
  <si>
    <t>T1-11B5</t>
  </si>
  <si>
    <t>180180,00</t>
  </si>
  <si>
    <t>NGUYEN THI NAM</t>
  </si>
  <si>
    <t>NTNAM60@YAHOO.COM, NAM.NGUYEN@VN.LAFARGE.COM</t>
  </si>
  <si>
    <t>T1-11B6</t>
  </si>
  <si>
    <t>196020,00</t>
  </si>
  <si>
    <t>PHAM THI THANH HUONG</t>
  </si>
  <si>
    <t>DUYSINH07@YAHOO.COM.VN</t>
  </si>
  <si>
    <t>T1-12A3</t>
  </si>
  <si>
    <t>137060,00</t>
  </si>
  <si>
    <t>RICHARD NAH CHONG HEONG</t>
  </si>
  <si>
    <t>RICHARDNAH@YAHOO.COM</t>
  </si>
  <si>
    <t>65 8222 0788</t>
  </si>
  <si>
    <t>Foreigner</t>
  </si>
  <si>
    <t>T1-12A4</t>
  </si>
  <si>
    <t>143990,00</t>
  </si>
  <si>
    <t>PARK YOUNG HYE</t>
  </si>
  <si>
    <t>DMAN0911@HOTMAIL.COM, LEA-YANG@DAUM.COM</t>
  </si>
  <si>
    <t>0908 036 226</t>
  </si>
  <si>
    <t>0958 935 913</t>
  </si>
  <si>
    <t>T1-12AA3</t>
  </si>
  <si>
    <t>138820,00</t>
  </si>
  <si>
    <t>SURIN ONGVASITH</t>
  </si>
  <si>
    <t>SURIN@SL-ESTATE.COM</t>
  </si>
  <si>
    <t>6681 9099097</t>
  </si>
  <si>
    <t>T1-12AA4</t>
  </si>
  <si>
    <t>145970,00</t>
  </si>
  <si>
    <t>DANG THI KIM ANH</t>
  </si>
  <si>
    <t>DKA-KAB@VNN.VN</t>
  </si>
  <si>
    <t>TRAN THI THANH NHAN</t>
  </si>
  <si>
    <t>T1-12AB1</t>
  </si>
  <si>
    <t>191620,00</t>
  </si>
  <si>
    <t>T1-12AB2</t>
  </si>
  <si>
    <t>194480,00</t>
  </si>
  <si>
    <t>TRAN VAN KHOAN</t>
  </si>
  <si>
    <t>KASON322@YAHOO.COM</t>
  </si>
  <si>
    <t>T1-12AB5</t>
  </si>
  <si>
    <t>185130,00</t>
  </si>
  <si>
    <t>LEE MIKE CHUN</t>
  </si>
  <si>
    <t>MIKELEE@MGMMIRAGE.COM</t>
  </si>
  <si>
    <t>T1-12AB6</t>
  </si>
  <si>
    <t>201410,00</t>
  </si>
  <si>
    <t>CAO THI MINH HA</t>
  </si>
  <si>
    <t>CAOMINHHA@YAHOO.COM</t>
  </si>
  <si>
    <t>T1-12B1</t>
  </si>
  <si>
    <t>189090,00</t>
  </si>
  <si>
    <t>T1-12B2</t>
  </si>
  <si>
    <t>191950,00</t>
  </si>
  <si>
    <t>BUI THI HOA HONG</t>
  </si>
  <si>
    <t>BUIROSE79@YAHOO.COM</t>
  </si>
  <si>
    <t>PHAM THI HUYEN TRANG</t>
  </si>
  <si>
    <t>T1-12B5</t>
  </si>
  <si>
    <t>182600,00</t>
  </si>
  <si>
    <t>NITA HUA</t>
  </si>
  <si>
    <t>NITAHUA@MGMMIRAGE.COM</t>
  </si>
  <si>
    <t>T1-12B6</t>
  </si>
  <si>
    <t>198770,00</t>
  </si>
  <si>
    <t>VU PHUONG NHU</t>
  </si>
  <si>
    <t>PHUONGNHU.TA@GMAIL.COM</t>
  </si>
  <si>
    <t>T1-12BA3</t>
  </si>
  <si>
    <t>140690,00</t>
  </si>
  <si>
    <t>BUI THI MINH TIEN</t>
  </si>
  <si>
    <t>TIEN.BUI@SVMEDIA.VN</t>
  </si>
  <si>
    <t>0903 873 299</t>
  </si>
  <si>
    <t>T1-12BA4</t>
  </si>
  <si>
    <t>147950,00</t>
  </si>
  <si>
    <t>LE THI TAM</t>
  </si>
  <si>
    <t>T1-12BB1</t>
  </si>
  <si>
    <t>194150,00</t>
  </si>
  <si>
    <t>KASAMVILAS BOONCHAI</t>
  </si>
  <si>
    <t>BOONCHAI888@HOTMAIL.COM</t>
  </si>
  <si>
    <t>853 622 777 11</t>
  </si>
  <si>
    <t>T1-12BB2</t>
  </si>
  <si>
    <t>197010,00</t>
  </si>
  <si>
    <t>TSCHUPPIK STEPHAN</t>
  </si>
  <si>
    <t>S_TSCHUPPIK@YAHOO.COM - STEPHAN.TSCHUPPIK@HYATT.COM</t>
  </si>
  <si>
    <t>(82) 6473 38402</t>
  </si>
  <si>
    <t>T1-12BB5</t>
  </si>
  <si>
    <t>187550,00</t>
  </si>
  <si>
    <t>T1-12BB6</t>
  </si>
  <si>
    <t>204050,00</t>
  </si>
  <si>
    <t>JEETAN SINGH RAJPAL</t>
  </si>
  <si>
    <t>JEETAN@HOTMAIL.COM</t>
  </si>
  <si>
    <t>T1-15A3</t>
  </si>
  <si>
    <t>142560,00</t>
  </si>
  <si>
    <t>T1-15A4</t>
  </si>
  <si>
    <t>149820,00</t>
  </si>
  <si>
    <t>LEE MI JEONG</t>
  </si>
  <si>
    <t>HYH715555@GMAIL.COM</t>
  </si>
  <si>
    <t>0907 535 806</t>
  </si>
  <si>
    <t>T1-15B1</t>
  </si>
  <si>
    <t>196790,00</t>
  </si>
  <si>
    <t>T1-15B2</t>
  </si>
  <si>
    <t>199760,00</t>
  </si>
  <si>
    <t>NGUYEN HOAI THU</t>
  </si>
  <si>
    <t>THUNGUYEN@VIETNAMAM.COM</t>
  </si>
  <si>
    <t>0909 457 969</t>
  </si>
  <si>
    <t>T1-15B5</t>
  </si>
  <si>
    <t>190080,00</t>
  </si>
  <si>
    <t>DOAN THI HONG NHUNG</t>
  </si>
  <si>
    <t>DOANHONGNHUNG69@YAHOO.COM</t>
  </si>
  <si>
    <t>T1-15B6</t>
  </si>
  <si>
    <t>206800,00</t>
  </si>
  <si>
    <t>PANG LIN JUAT</t>
  </si>
  <si>
    <t>JAYES@SINGNET.COM.SG</t>
  </si>
  <si>
    <t>#ERROR!</t>
  </si>
  <si>
    <t>T1-16A3</t>
  </si>
  <si>
    <t>DINH BAO NGOC</t>
  </si>
  <si>
    <t>HTN303@YAHOO.COM</t>
  </si>
  <si>
    <t>T1-16A4</t>
  </si>
  <si>
    <t>154770,00</t>
  </si>
  <si>
    <t>DUONG A LAN</t>
  </si>
  <si>
    <t>ALANDUONG@MOSAIQUEDECORATION.COM</t>
  </si>
  <si>
    <t>T1-16B1</t>
  </si>
  <si>
    <t>201300,00</t>
  </si>
  <si>
    <t>T1-16B2</t>
  </si>
  <si>
    <t>206250,00</t>
  </si>
  <si>
    <t>HUYNH BINH MINH</t>
  </si>
  <si>
    <t>LOUISMINH@PRIMECARGO.COM.VN</t>
  </si>
  <si>
    <t>T1-16B5</t>
  </si>
  <si>
    <t>HOANG XUAN QUOC</t>
  </si>
  <si>
    <t>HXQUOC@PVNT2.COM.VN</t>
  </si>
  <si>
    <t>0908 089 698</t>
  </si>
  <si>
    <t>T1-16B6</t>
  </si>
  <si>
    <t>213620,00</t>
  </si>
  <si>
    <t>LIM TUAY LEE</t>
  </si>
  <si>
    <t>BFTSIN@SINGNET.COM.SG</t>
  </si>
  <si>
    <t>T1-17A4</t>
  </si>
  <si>
    <t>167750,00</t>
  </si>
  <si>
    <t>AMERICA TRADING &amp; SERVICE CO., LTD</t>
  </si>
  <si>
    <t>PQHANG@ATS-VN.COM</t>
  </si>
  <si>
    <t>Company</t>
  </si>
  <si>
    <t>T1-17B5</t>
  </si>
  <si>
    <t>207900,00</t>
  </si>
  <si>
    <t>HOP LONG INVESTMENT COMPANY LIMITED</t>
  </si>
  <si>
    <t>T1-17B6</t>
  </si>
  <si>
    <t>227370,00</t>
  </si>
  <si>
    <t>T1-18A4</t>
  </si>
  <si>
    <t>169730,00</t>
  </si>
  <si>
    <t>T1-18B5</t>
  </si>
  <si>
    <t>210430,00</t>
  </si>
  <si>
    <t>NAM THANG LONG INVESTMENT J.T CO</t>
  </si>
  <si>
    <t>NGOCLIENPHAM1958@YAHOO.COM</t>
  </si>
  <si>
    <t>T1-18B6</t>
  </si>
  <si>
    <t>230010,00</t>
  </si>
  <si>
    <t>T1-19A3</t>
  </si>
  <si>
    <t>151470,00</t>
  </si>
  <si>
    <t>T1-19A4</t>
  </si>
  <si>
    <t>160710,00</t>
  </si>
  <si>
    <t>NGUYEN THI THUY VAN</t>
  </si>
  <si>
    <t>VANNESA_NGUYEN@YAHOO.COM</t>
  </si>
  <si>
    <t>T1-19B1</t>
  </si>
  <si>
    <t>217474,00</t>
  </si>
  <si>
    <t>NGUYEN BICH HANG</t>
  </si>
  <si>
    <t>NBICHANG@GMAIL.COM</t>
  </si>
  <si>
    <t>TRAN DINH THIEN NGA</t>
  </si>
  <si>
    <t>T1-19B2</t>
  </si>
  <si>
    <t>214170,00</t>
  </si>
  <si>
    <t>JOSEPH RIFKIN</t>
  </si>
  <si>
    <t>JOSEPHRIFKIN@YAHOO.COM</t>
  </si>
  <si>
    <t>0903 047 001</t>
  </si>
  <si>
    <t>T1-19B5</t>
  </si>
  <si>
    <t>201960,00</t>
  </si>
  <si>
    <t>PHAM DAC HOA</t>
  </si>
  <si>
    <t>T1-19B6</t>
  </si>
  <si>
    <t>200875,13</t>
  </si>
  <si>
    <t>VU MAI KHANH</t>
  </si>
  <si>
    <t>NAMTH2007@YAHOO.COM</t>
  </si>
  <si>
    <t>0903 902 632</t>
  </si>
  <si>
    <t>NGUYEN SON TUNG-DIA OC 24H AGENT</t>
  </si>
  <si>
    <t>T1-1A3</t>
  </si>
  <si>
    <t>128700,00</t>
  </si>
  <si>
    <t>LUONG THI BACH LAN</t>
  </si>
  <si>
    <t>LANLUONG72@YAHOO.COM</t>
  </si>
  <si>
    <t>T1-1A4</t>
  </si>
  <si>
    <t>149600,00</t>
  </si>
  <si>
    <t>TRAN THI TU TRINH</t>
  </si>
  <si>
    <t>T1-1B1</t>
  </si>
  <si>
    <t>186120,00</t>
  </si>
  <si>
    <t>CHANG HUNG CHUN</t>
  </si>
  <si>
    <t>CHCHUN@KPMG.COM.VN</t>
  </si>
  <si>
    <t>0903 818 321</t>
  </si>
  <si>
    <t>T1-1B2</t>
  </si>
  <si>
    <t>205040,00</t>
  </si>
  <si>
    <t>NGUYEN VAN LONG</t>
  </si>
  <si>
    <t>T1-1B5</t>
  </si>
  <si>
    <t>NGUYEN XUAN CUONG</t>
  </si>
  <si>
    <t>XUANVINH69@HCM.FPT.VN</t>
  </si>
  <si>
    <t>T1-1B6</t>
  </si>
  <si>
    <t>211530,00</t>
  </si>
  <si>
    <t>T1-20A3</t>
  </si>
  <si>
    <t>153450,00</t>
  </si>
  <si>
    <t>IVY CHIAM AI SOON</t>
  </si>
  <si>
    <t>SUPERXO2002@YAHOO.COM</t>
  </si>
  <si>
    <t>65 9025 0931</t>
  </si>
  <si>
    <t>T1-20A4</t>
  </si>
  <si>
    <t>162690,00</t>
  </si>
  <si>
    <t>LE ANH</t>
  </si>
  <si>
    <t>ANHLEMD@YAHOO.COM</t>
  </si>
  <si>
    <t>0903 051 514</t>
  </si>
  <si>
    <t>T1-20B1</t>
  </si>
  <si>
    <t>211750,00</t>
  </si>
  <si>
    <t>TRAN KE THUAN</t>
  </si>
  <si>
    <t>THUANTK@YAHOO.COM</t>
  </si>
  <si>
    <t>T1-20B2</t>
  </si>
  <si>
    <t>216810,00</t>
  </si>
  <si>
    <t>NGUYEN XUAN MINH</t>
  </si>
  <si>
    <t>NGUYEN.X.MINH@GMAIL.COM</t>
  </si>
  <si>
    <t>0909 762 155</t>
  </si>
  <si>
    <t>T1-20B5</t>
  </si>
  <si>
    <t>212670,00</t>
  </si>
  <si>
    <t>QUACH NGOC QUE</t>
  </si>
  <si>
    <t>QUE_NGOCQ@YAHOO.COM</t>
  </si>
  <si>
    <t>0903 811 789</t>
  </si>
  <si>
    <t>T1-20B6</t>
  </si>
  <si>
    <t>224620,00</t>
  </si>
  <si>
    <t>PANG AH LIN</t>
  </si>
  <si>
    <t>T1-21A3</t>
  </si>
  <si>
    <t>158400,00</t>
  </si>
  <si>
    <t>T1-21A4</t>
  </si>
  <si>
    <t>164670,00</t>
  </si>
  <si>
    <t>PHAM PHUONG DUNG</t>
  </si>
  <si>
    <t>T1-21B1</t>
  </si>
  <si>
    <t>227427,00</t>
  </si>
  <si>
    <t>LE THU THUY</t>
  </si>
  <si>
    <t>BAU_PUCCA83@YAHOO.COM.VN,</t>
  </si>
  <si>
    <t>0903.980.656</t>
  </si>
  <si>
    <t>T1-21B2</t>
  </si>
  <si>
    <t>219560,00</t>
  </si>
  <si>
    <t>LE THUY CHI</t>
  </si>
  <si>
    <t>CTLE9@HOTMAIL.COM</t>
  </si>
  <si>
    <t>0985 665 956</t>
  </si>
  <si>
    <t>T1-21B5</t>
  </si>
  <si>
    <t>219534,00</t>
  </si>
  <si>
    <t>VU THI THUY QUYNH</t>
  </si>
  <si>
    <t>MISSVUQUEEN@YAHOO.COM</t>
  </si>
  <si>
    <t>T1-21B6</t>
  </si>
  <si>
    <t>227260,00</t>
  </si>
  <si>
    <t>KHONG HEE KAN</t>
  </si>
  <si>
    <t>T1-22A3</t>
  </si>
  <si>
    <t>160380,00</t>
  </si>
  <si>
    <t>T1-22A4</t>
  </si>
  <si>
    <t>166650,00</t>
  </si>
  <si>
    <t>T1-22B1</t>
  </si>
  <si>
    <t>230173,00</t>
  </si>
  <si>
    <t>NGUYEN MINH QUANG</t>
  </si>
  <si>
    <t>QUANGDRAGON1@YAHOO.COM</t>
  </si>
  <si>
    <t>T1-22B2</t>
  </si>
  <si>
    <t>222090,00</t>
  </si>
  <si>
    <t>T1-22B5</t>
  </si>
  <si>
    <t>222279,00</t>
  </si>
  <si>
    <t>LE THI GIOI</t>
  </si>
  <si>
    <t>T1-22B6</t>
  </si>
  <si>
    <t>T1-23P1</t>
  </si>
  <si>
    <t>888250,00</t>
  </si>
  <si>
    <t>NGUYEN THANH PHUONG</t>
  </si>
  <si>
    <t>PHUONG.NGUYEN@VIETCAPITAL.COM.VN</t>
  </si>
  <si>
    <t>T1-23P2</t>
  </si>
  <si>
    <t>944790,00</t>
  </si>
  <si>
    <t>DUONG QUYNH HUONG</t>
  </si>
  <si>
    <t>HUONG_DQ369@YAHOO.COM</t>
  </si>
  <si>
    <t>T1-23P3</t>
  </si>
  <si>
    <t>919710,00</t>
  </si>
  <si>
    <t>NGUYEN HOANG YEN</t>
  </si>
  <si>
    <t>YENNH@MSC.MASANGROUP.COM</t>
  </si>
  <si>
    <t>T1-23P4</t>
  </si>
  <si>
    <t>912560,00</t>
  </si>
  <si>
    <t>NGUYEN THI NGUYET</t>
  </si>
  <si>
    <t>XUANNGA@PHUAN.COM.VN</t>
  </si>
  <si>
    <t>T1-2A3</t>
  </si>
  <si>
    <t>130680,00</t>
  </si>
  <si>
    <t>TRAN QUOC BINH</t>
  </si>
  <si>
    <t>HAI@TRIEUXUAN.COM</t>
  </si>
  <si>
    <t>3 827 4702</t>
  </si>
  <si>
    <t>T1-2A4</t>
  </si>
  <si>
    <t>151800,00</t>
  </si>
  <si>
    <t>PHAN NGOC HAI</t>
  </si>
  <si>
    <t>T1-2B1</t>
  </si>
  <si>
    <t>NGUYEN TUAN NGOC</t>
  </si>
  <si>
    <t>0915 138 888</t>
  </si>
  <si>
    <t>T1-2B2</t>
  </si>
  <si>
    <t>208120,00</t>
  </si>
  <si>
    <t>VO QUYNH ANH</t>
  </si>
  <si>
    <t>0906 300 595</t>
  </si>
  <si>
    <t>T1-2B5</t>
  </si>
  <si>
    <t>183040,00</t>
  </si>
  <si>
    <t>DAVID PONG KAR SOON</t>
  </si>
  <si>
    <t>DAVID-CHIYOWA@HCM.VNN.VN</t>
  </si>
  <si>
    <t>T1-2B6</t>
  </si>
  <si>
    <t>214720,00</t>
  </si>
  <si>
    <t>LE NGOC MEN</t>
  </si>
  <si>
    <t>0903 801 894</t>
  </si>
  <si>
    <t>T1-3A3</t>
  </si>
  <si>
    <t>127710,00</t>
  </si>
  <si>
    <t>MAI THI THUY LIEU</t>
  </si>
  <si>
    <t>THUYLIEUSAIGON@YAHOO.COM</t>
  </si>
  <si>
    <t>T1-3A4</t>
  </si>
  <si>
    <t>148500,00</t>
  </si>
  <si>
    <t>DAO THUY UYEN</t>
  </si>
  <si>
    <t>DAOTHUYUYEN@YAHOO.COM</t>
  </si>
  <si>
    <t>0932.641.368</t>
  </si>
  <si>
    <t>T1-3AA3</t>
  </si>
  <si>
    <t>129690,00</t>
  </si>
  <si>
    <t>NGUYEN THI QUYNH GIANG</t>
  </si>
  <si>
    <t>N/A</t>
  </si>
  <si>
    <t>0903 678 949</t>
  </si>
  <si>
    <t>T1-3AA4</t>
  </si>
  <si>
    <t>146300,00</t>
  </si>
  <si>
    <t>TAN WAN KENG</t>
  </si>
  <si>
    <t>NICHOLAS.TAN@CAPITALAND.COM</t>
  </si>
  <si>
    <t>0938 302 203</t>
  </si>
  <si>
    <t>T1-3AB1</t>
  </si>
  <si>
    <t>178970,00</t>
  </si>
  <si>
    <t>T1-3AB2</t>
  </si>
  <si>
    <t>192610,00</t>
  </si>
  <si>
    <t>GIAP MAI HUY</t>
  </si>
  <si>
    <t>GIAPMAIHUY@YAHOO.COM</t>
  </si>
  <si>
    <t>0914 800 880</t>
  </si>
  <si>
    <t>0943 241 111</t>
  </si>
  <si>
    <t>T1-3AB5</t>
  </si>
  <si>
    <t>172810,00</t>
  </si>
  <si>
    <t>NGUYEN THI NGOC SUONG</t>
  </si>
  <si>
    <t>NTNS03@YAHOO.COM</t>
  </si>
  <si>
    <t>0903.841.295</t>
  </si>
  <si>
    <t>T1-3AB6</t>
  </si>
  <si>
    <t>199210,00</t>
  </si>
  <si>
    <t>T1-3B1</t>
  </si>
  <si>
    <t>176220,00</t>
  </si>
  <si>
    <t>KIEU CONG LY</t>
  </si>
  <si>
    <t>HAIHOALOCAUDIO@YAHOO.COM</t>
  </si>
  <si>
    <t>0913.808.376</t>
  </si>
  <si>
    <t>T1-3B2</t>
  </si>
  <si>
    <t>T1-3B5</t>
  </si>
  <si>
    <t>170170,00</t>
  </si>
  <si>
    <t>NGUYEN VIET HUNG</t>
  </si>
  <si>
    <t>0938.003.130</t>
  </si>
  <si>
    <t>T1-3B6</t>
  </si>
  <si>
    <t>200750,00</t>
  </si>
  <si>
    <t>T1-5A3</t>
  </si>
  <si>
    <t>131670,00</t>
  </si>
  <si>
    <t>DANG KHAC BINH</t>
  </si>
  <si>
    <t>T1-5A4</t>
  </si>
  <si>
    <t>NGUYEN THI THANH</t>
  </si>
  <si>
    <t>T1-5B1</t>
  </si>
  <si>
    <t>181610,00</t>
  </si>
  <si>
    <t>DANG KHAC BAN</t>
  </si>
  <si>
    <t>T1-5B2</t>
  </si>
  <si>
    <t>191070,00</t>
  </si>
  <si>
    <t>DANG KHAC PHUC</t>
  </si>
  <si>
    <t>T1-5B5</t>
  </si>
  <si>
    <t>175340,00</t>
  </si>
  <si>
    <t>NGUYEN THI THU THUY</t>
  </si>
  <si>
    <t>THAPCAM13@YAHOO.COM</t>
  </si>
  <si>
    <t>T1-5B6</t>
  </si>
  <si>
    <t>197780,00</t>
  </si>
  <si>
    <t>LAU YUET NGOR</t>
  </si>
  <si>
    <t>ELAU@MGMMIRAGE.COM.HK</t>
  </si>
  <si>
    <t>T1-6A3</t>
  </si>
  <si>
    <t>133650,00</t>
  </si>
  <si>
    <t>DANG THI BICH HOP</t>
  </si>
  <si>
    <t>3588 0401</t>
  </si>
  <si>
    <t>T1-6A4</t>
  </si>
  <si>
    <t>141680,00</t>
  </si>
  <si>
    <t>MAI THI THU HUONG</t>
  </si>
  <si>
    <t>THUHUONGTACOMSE@YAHOO.COM</t>
  </si>
  <si>
    <t>T1-6B1</t>
  </si>
  <si>
    <t>184360,00</t>
  </si>
  <si>
    <t>NGUYEN THI TAI</t>
  </si>
  <si>
    <t>38.430.809</t>
  </si>
  <si>
    <t>T1-6B2</t>
  </si>
  <si>
    <t>189530,00</t>
  </si>
  <si>
    <t>NGUYEN THI NGOC BICH</t>
  </si>
  <si>
    <t>NGUYENTHINGOCBICH22@YAHOO.COM</t>
  </si>
  <si>
    <t>T1-6B5</t>
  </si>
  <si>
    <t>178090,00</t>
  </si>
  <si>
    <t>NGUYEN THI THANH THUY</t>
  </si>
  <si>
    <t>THANHTHUY9595@YAHOO.COM.VN</t>
  </si>
  <si>
    <t>T1-6B6</t>
  </si>
  <si>
    <t>196240,00</t>
  </si>
  <si>
    <t>TRACY TSOI</t>
  </si>
  <si>
    <t>TTSOI@MGMRESORTS.COM</t>
  </si>
  <si>
    <t>T1-7A3</t>
  </si>
  <si>
    <t>T1-7A4</t>
  </si>
  <si>
    <t>134310,00</t>
  </si>
  <si>
    <t>NGUYEN THI HA</t>
  </si>
  <si>
    <t>VANSONTRANG@VN.VNN</t>
  </si>
  <si>
    <t>043.876.7394</t>
  </si>
  <si>
    <t>T1-7B1</t>
  </si>
  <si>
    <t>TRAN NHUT HUY</t>
  </si>
  <si>
    <t>VNRUNGVANGBIENBAC@GMAIL.COM</t>
  </si>
  <si>
    <t>0979.208.228</t>
  </si>
  <si>
    <t>0906 868 789</t>
  </si>
  <si>
    <t>T1-7B2</t>
  </si>
  <si>
    <t>CAO HONG QUANG</t>
  </si>
  <si>
    <t>YENVO1004@YAHOO.CO.UK</t>
  </si>
  <si>
    <t>T1-7B5</t>
  </si>
  <si>
    <t>170280,00</t>
  </si>
  <si>
    <t>LE THU TRANG</t>
  </si>
  <si>
    <t>3.827.4702</t>
  </si>
  <si>
    <t>0908 619 838</t>
  </si>
  <si>
    <t>T1-7B6</t>
  </si>
  <si>
    <t>185240,00</t>
  </si>
  <si>
    <t>TRAN HAI YEN</t>
  </si>
  <si>
    <t>YEN2002@GMAIL.COM</t>
  </si>
  <si>
    <t>T1-8A3</t>
  </si>
  <si>
    <t>CA DOAN TRUONG NGON</t>
  </si>
  <si>
    <t>TRUONGNGON@GMAIL.COM</t>
  </si>
  <si>
    <t>T1-8A4</t>
  </si>
  <si>
    <t>136180,00</t>
  </si>
  <si>
    <t>LE NGOC VINH DAT</t>
  </si>
  <si>
    <t>LENGOCVINH DAT@YAHOO.COM</t>
  </si>
  <si>
    <t>T1-8B1</t>
  </si>
  <si>
    <t>178860,00</t>
  </si>
  <si>
    <t>T1-8B2</t>
  </si>
  <si>
    <t>181500,00</t>
  </si>
  <si>
    <t>DUONG THI BICH HANG</t>
  </si>
  <si>
    <t>T1-8B5</t>
  </si>
  <si>
    <t>172700,00</t>
  </si>
  <si>
    <t>T1-8B6</t>
  </si>
  <si>
    <t>187990,00</t>
  </si>
  <si>
    <t>DANG THI OANH</t>
  </si>
  <si>
    <t>OANHWONG@YAHOO.COM</t>
  </si>
  <si>
    <t>T1-9A3</t>
  </si>
  <si>
    <t>131450,00</t>
  </si>
  <si>
    <t>NGUYEN THI ANH HONG</t>
  </si>
  <si>
    <t>HONGHERVIEU@GMAIL.COM</t>
  </si>
  <si>
    <t>0932 722 899</t>
  </si>
  <si>
    <t>T1-9A4</t>
  </si>
  <si>
    <t>138160,00</t>
  </si>
  <si>
    <t>PHAM THI DIEM CHAU</t>
  </si>
  <si>
    <t>JESSICA@TAIYORYUTSU.VN</t>
  </si>
  <si>
    <t>0903 746 435</t>
  </si>
  <si>
    <t>0913 888 078</t>
  </si>
  <si>
    <t>T1-9B1</t>
  </si>
  <si>
    <t>181390,00</t>
  </si>
  <si>
    <t>T1-9B2</t>
  </si>
  <si>
    <t>184140,00</t>
  </si>
  <si>
    <t>NGUYEN THI BACH HUE</t>
  </si>
  <si>
    <t>MI.NGUYEN@YAHOO.COM.SG</t>
  </si>
  <si>
    <t>T1-9B5</t>
  </si>
  <si>
    <t>175230,00</t>
  </si>
  <si>
    <t>T1-9B6</t>
  </si>
  <si>
    <t>190630,00</t>
  </si>
  <si>
    <t>NGUYEN QUANG HUY</t>
  </si>
  <si>
    <t>HONGHA1005@YAHOO.COM</t>
  </si>
  <si>
    <t>0975.557.116</t>
  </si>
  <si>
    <t>0903.750.579</t>
  </si>
  <si>
    <t>T1-GA3</t>
  </si>
  <si>
    <t>162800,00</t>
  </si>
  <si>
    <t>LA QUI TU ANH</t>
  </si>
  <si>
    <t>T1-GB1</t>
  </si>
  <si>
    <t>206690,00</t>
  </si>
  <si>
    <t>NGUYEN MANH DONG</t>
  </si>
  <si>
    <t>T1-GB2</t>
  </si>
  <si>
    <t>211860,00</t>
  </si>
  <si>
    <t>T1-GB5</t>
  </si>
  <si>
    <t>201520,00</t>
  </si>
  <si>
    <t>NGUYEN TU UYEN</t>
  </si>
  <si>
    <t>T1-GB6</t>
  </si>
  <si>
    <t>230230,00</t>
  </si>
  <si>
    <t>NGUYEN THI THANH BINH</t>
  </si>
  <si>
    <t>NGTTBINH@YAHOO.COM</t>
  </si>
  <si>
    <t>0908 193 195</t>
  </si>
  <si>
    <t>TOWER 2</t>
  </si>
  <si>
    <t>T2-10A3</t>
  </si>
  <si>
    <t>139590,00</t>
  </si>
  <si>
    <t>NGUYEN THI MINH HANG</t>
  </si>
  <si>
    <t>HANGMP77@YAHOO.COM</t>
  </si>
  <si>
    <t>T2-10A4</t>
  </si>
  <si>
    <t>146542,88</t>
  </si>
  <si>
    <t>VIEN TUYET PHUONG</t>
  </si>
  <si>
    <t>BEN8888118@YAHOO.COM.SG</t>
  </si>
  <si>
    <t>T2-10B1</t>
  </si>
  <si>
    <t>194531,70</t>
  </si>
  <si>
    <t>PHAM THI ANH HONG</t>
  </si>
  <si>
    <t>ANHHONGCOLA@GMAIL.COM</t>
  </si>
  <si>
    <t>0935 152 985</t>
  </si>
  <si>
    <t>NGUYEN THI HAI VAN</t>
  </si>
  <si>
    <t>T2-10B2</t>
  </si>
  <si>
    <t>195580,00</t>
  </si>
  <si>
    <t>TRAN THI THANH NGA</t>
  </si>
  <si>
    <t>THANHNGA031164@YAHOO.COM</t>
  </si>
  <si>
    <t>0907.222.742</t>
  </si>
  <si>
    <t>T2-10B5</t>
  </si>
  <si>
    <t>LE THUY NGA</t>
  </si>
  <si>
    <t>T2-10B6</t>
  </si>
  <si>
    <t>202510,00</t>
  </si>
  <si>
    <t>NG SING BENG</t>
  </si>
  <si>
    <t>SINGBENG@GMAIL.COM, SINGBENG.NG@SHERATON.COM</t>
  </si>
  <si>
    <t>T2-11A3</t>
  </si>
  <si>
    <t>141570,00</t>
  </si>
  <si>
    <t>VO THI HONG KHANH</t>
  </si>
  <si>
    <t>KHANH81BN@YAHOO.COM</t>
  </si>
  <si>
    <t>T2-11A4</t>
  </si>
  <si>
    <t>148830,00</t>
  </si>
  <si>
    <t>LE THANH HANG</t>
  </si>
  <si>
    <t>HANGLE0107@GMAIL.COM</t>
  </si>
  <si>
    <t>T2-11B1</t>
  </si>
  <si>
    <t>195360,00</t>
  </si>
  <si>
    <t>YUEN TZE LUNG ISSAC</t>
  </si>
  <si>
    <t>ISSAC@SAIGONTRADECENTER.COM</t>
  </si>
  <si>
    <t>T2-11B2</t>
  </si>
  <si>
    <t>198330,00</t>
  </si>
  <si>
    <t>TRINH THU ANH</t>
  </si>
  <si>
    <t>TA314@YAHOO.COM</t>
  </si>
  <si>
    <t>0938 811 766</t>
  </si>
  <si>
    <t>T2-11B5</t>
  </si>
  <si>
    <t>188650,00</t>
  </si>
  <si>
    <t>LE HOANG NHAN</t>
  </si>
  <si>
    <t>NHAN@CMN.COM.VN</t>
  </si>
  <si>
    <t>0935 111 999</t>
  </si>
  <si>
    <t>T2-11B6</t>
  </si>
  <si>
    <t>205370,00</t>
  </si>
  <si>
    <t>CHAN HOCK CHYE</t>
  </si>
  <si>
    <t>CPSHLDGS@STREAMYX.COM</t>
  </si>
  <si>
    <t>T2-12A3</t>
  </si>
  <si>
    <t>143550,00</t>
  </si>
  <si>
    <t>NGUYEN LAP</t>
  </si>
  <si>
    <t>T2-12A4</t>
  </si>
  <si>
    <t>150920,00</t>
  </si>
  <si>
    <t>TRAN THI NHU</t>
  </si>
  <si>
    <t>TT_NHU@TEC.EDU.VN</t>
  </si>
  <si>
    <t>T2-12AA3</t>
  </si>
  <si>
    <t>145530,00</t>
  </si>
  <si>
    <t>PARK JINKU</t>
  </si>
  <si>
    <t>PJINKU@HOTMAIL.COM</t>
  </si>
  <si>
    <t>T2-12AA4</t>
  </si>
  <si>
    <t>152900,00</t>
  </si>
  <si>
    <t>NGUYEN THI HONG VAN</t>
  </si>
  <si>
    <t>HONGVAN@VCI-LEGAL.COM</t>
  </si>
  <si>
    <t>T2-12AB1</t>
  </si>
  <si>
    <t>DO THI KIM LINH</t>
  </si>
  <si>
    <t>DOKIMLINH@GMAIL.COM</t>
  </si>
  <si>
    <t>T2-12AB2</t>
  </si>
  <si>
    <t>203830,00</t>
  </si>
  <si>
    <t>T2-12AB5</t>
  </si>
  <si>
    <t>193930,00</t>
  </si>
  <si>
    <t>HUYNH NGOC DIEM THUY</t>
  </si>
  <si>
    <t>CJANG@FPT.VN - SINGBENG@GMAIL.COM</t>
  </si>
  <si>
    <t>0903 918 971</t>
  </si>
  <si>
    <t>0908.922.262</t>
  </si>
  <si>
    <t>T2-12AB6</t>
  </si>
  <si>
    <t>210980,00</t>
  </si>
  <si>
    <t>NGUYEN THI DIEU HUONG</t>
  </si>
  <si>
    <t>DIEUHUONG73@YAHOO.COM</t>
  </si>
  <si>
    <t>T2-12B1</t>
  </si>
  <si>
    <t>198000,00</t>
  </si>
  <si>
    <t>NGUYEN LINH NHAN DUC</t>
  </si>
  <si>
    <t>T2-12B2</t>
  </si>
  <si>
    <t>200970,00</t>
  </si>
  <si>
    <t>HUYNH QUANG HAI</t>
  </si>
  <si>
    <t>HQHAIVN@GMAIL.COM</t>
  </si>
  <si>
    <t>T2-12B5</t>
  </si>
  <si>
    <t>191290,00</t>
  </si>
  <si>
    <t>PHAN HOAI NAM</t>
  </si>
  <si>
    <t>T2-12B6</t>
  </si>
  <si>
    <t>T2-12BA3</t>
  </si>
  <si>
    <t>147510,00</t>
  </si>
  <si>
    <t>T2-12BA4</t>
  </si>
  <si>
    <t>154990,00</t>
  </si>
  <si>
    <t>NGO LE QUAN</t>
  </si>
  <si>
    <t>CONNIE@CAPROMOS.COM</t>
  </si>
  <si>
    <t>T2-12BB1</t>
  </si>
  <si>
    <t>203500,00</t>
  </si>
  <si>
    <t>T2-12BB2</t>
  </si>
  <si>
    <t>206470,00</t>
  </si>
  <si>
    <t>JEONG JONG YEON</t>
  </si>
  <si>
    <t>TRUNGNHAN@ORIONWORLD.COM</t>
  </si>
  <si>
    <t>0908763 801</t>
  </si>
  <si>
    <t>T2-12BB5</t>
  </si>
  <si>
    <t>196460,00</t>
  </si>
  <si>
    <t>T2-12BB6</t>
  </si>
  <si>
    <t>213840,00</t>
  </si>
  <si>
    <t>TRAN VAN NGHIEP</t>
  </si>
  <si>
    <t>NGOAINOO@YAHOO.COM</t>
  </si>
  <si>
    <t>T2-15A3</t>
  </si>
  <si>
    <t>149490,00</t>
  </si>
  <si>
    <t>LYN HIAN WOON</t>
  </si>
  <si>
    <t>JOHNLYN@VIETNAMAM.COM</t>
  </si>
  <si>
    <t>T2-15A4</t>
  </si>
  <si>
    <t>156970,00</t>
  </si>
  <si>
    <t>KRAUSZ GIDEON PIERRE RAPHAEL</t>
  </si>
  <si>
    <t>GIDEONKRAUSZ@HOTMAIL.COM</t>
  </si>
  <si>
    <t>(0065) 9239 3303</t>
  </si>
  <si>
    <t>T2-15B1</t>
  </si>
  <si>
    <t>206140,00</t>
  </si>
  <si>
    <t>PHAN DUC LOI</t>
  </si>
  <si>
    <t>DUCLOIABC@YAHOO.COM</t>
  </si>
  <si>
    <t>0939 333 575</t>
  </si>
  <si>
    <t>T2-15B2</t>
  </si>
  <si>
    <t>209220,00</t>
  </si>
  <si>
    <t>KIM SEUNG JIN</t>
  </si>
  <si>
    <t>KIMSJ@ORIONWORLD.COM</t>
  </si>
  <si>
    <t>T2-15B5</t>
  </si>
  <si>
    <t>198990,00</t>
  </si>
  <si>
    <t>T2-15B6</t>
  </si>
  <si>
    <t>216700,00</t>
  </si>
  <si>
    <t>TRAN KIM CHI</t>
  </si>
  <si>
    <t>CTBRANCH@GMAIL.COM</t>
  </si>
  <si>
    <t>0904 066 678</t>
  </si>
  <si>
    <t>T2-16A3</t>
  </si>
  <si>
    <t>T2-16A4</t>
  </si>
  <si>
    <t>162140,00</t>
  </si>
  <si>
    <t>NGUYEN THI MINH TUYET</t>
  </si>
  <si>
    <t>T.GIANG@SDV.COM.VN</t>
  </si>
  <si>
    <t>T2-16B1</t>
  </si>
  <si>
    <t>210870,00</t>
  </si>
  <si>
    <t>T2-16B2</t>
  </si>
  <si>
    <t>216040,00</t>
  </si>
  <si>
    <t>TRAN CAM NHUNG</t>
  </si>
  <si>
    <t>061-6280040</t>
  </si>
  <si>
    <t>T2-16B5</t>
  </si>
  <si>
    <t>203720,00</t>
  </si>
  <si>
    <t>T2-16B6</t>
  </si>
  <si>
    <t>223740,00</t>
  </si>
  <si>
    <t>VUONG TRI DUNG</t>
  </si>
  <si>
    <t>T2-17A3</t>
  </si>
  <si>
    <t>154880,00</t>
  </si>
  <si>
    <t>T2-17A4</t>
  </si>
  <si>
    <t>164230,00</t>
  </si>
  <si>
    <t>ANG ENG JOO (WENG YONGYU)</t>
  </si>
  <si>
    <t>EJANGVN@YAHOO.COM.SG</t>
  </si>
  <si>
    <t>0913 929 620</t>
  </si>
  <si>
    <t>016 7455 9111</t>
  </si>
  <si>
    <t>T2-17B1</t>
  </si>
  <si>
    <t>213730,00</t>
  </si>
  <si>
    <t>T2-17B2</t>
  </si>
  <si>
    <t>218790,00</t>
  </si>
  <si>
    <t>T2-17B5</t>
  </si>
  <si>
    <t>206360,00</t>
  </si>
  <si>
    <t>T2-17B6</t>
  </si>
  <si>
    <t>205901,74</t>
  </si>
  <si>
    <t>MEKKELHOLT RIK WOUTER</t>
  </si>
  <si>
    <t>RIKVIETNAM@YAHOO.COM</t>
  </si>
  <si>
    <t>0904 800 548</t>
  </si>
  <si>
    <t>T2-18A3</t>
  </si>
  <si>
    <t>156750,00</t>
  </si>
  <si>
    <t>T2-18A4</t>
  </si>
  <si>
    <t>166320,00</t>
  </si>
  <si>
    <t>CHUA KIM HOCK RICHARD JOSEPH</t>
  </si>
  <si>
    <t>RICHCHUA@HOTMAIL.COM</t>
  </si>
  <si>
    <t>T2-18B1</t>
  </si>
  <si>
    <t>216370,00</t>
  </si>
  <si>
    <t>T2-18B2</t>
  </si>
  <si>
    <t>221650,00</t>
  </si>
  <si>
    <t>T2-18B5</t>
  </si>
  <si>
    <t>208890,00</t>
  </si>
  <si>
    <t>SCHELLENBERG FRANK</t>
  </si>
  <si>
    <t>FSCHELLENBERG@GHP-FAREAST.VN</t>
  </si>
  <si>
    <t>T2-18B6</t>
  </si>
  <si>
    <t>229460,00</t>
  </si>
  <si>
    <t>LE DUY</t>
  </si>
  <si>
    <t>DUY.LE@WEB.DE</t>
  </si>
  <si>
    <t>0032 486 368 966</t>
  </si>
  <si>
    <t>T2-19A3</t>
  </si>
  <si>
    <t>158730,00</t>
  </si>
  <si>
    <t>T2-19A4</t>
  </si>
  <si>
    <t>168300,00</t>
  </si>
  <si>
    <t>T2-19B1</t>
  </si>
  <si>
    <t>219010,00</t>
  </si>
  <si>
    <t>TRAN THI THANH PHUONG</t>
  </si>
  <si>
    <t>THANHPHUONG23@HOTMAIL.COM</t>
  </si>
  <si>
    <t>0903 749 930</t>
  </si>
  <si>
    <t>T2-19B2</t>
  </si>
  <si>
    <t>224400,00</t>
  </si>
  <si>
    <t>KIM NAM HUN</t>
  </si>
  <si>
    <t>KNH555@ORIONWORLD.COM</t>
  </si>
  <si>
    <t>T2-19B5</t>
  </si>
  <si>
    <t>T2-19B6</t>
  </si>
  <si>
    <t>232320,00</t>
  </si>
  <si>
    <t>TAN YEOW NAM</t>
  </si>
  <si>
    <t>CHIAKEE@SINGNET.COM.SG</t>
  </si>
  <si>
    <t>T2-1A3</t>
  </si>
  <si>
    <t>134750,00</t>
  </si>
  <si>
    <t>NGUYEN THI THUY TRANG</t>
  </si>
  <si>
    <t>T2-1A4</t>
  </si>
  <si>
    <t>156200,00</t>
  </si>
  <si>
    <t>TRAN KE THANG</t>
  </si>
  <si>
    <t>ANHNAMHAIQUAN@YAHOO.COM</t>
  </si>
  <si>
    <t>0837.752.665</t>
  </si>
  <si>
    <t>0643 606 436</t>
  </si>
  <si>
    <t>T2-1B1</t>
  </si>
  <si>
    <t>195030,00</t>
  </si>
  <si>
    <t>DANG THI LE PHUONG</t>
  </si>
  <si>
    <t>PHUONGLE2012@GMAIL.COM</t>
  </si>
  <si>
    <t>T2-1B2</t>
  </si>
  <si>
    <t>214280,00</t>
  </si>
  <si>
    <t>KUSTER FRIEDRICH</t>
  </si>
  <si>
    <t>FRIEDRICHKUSTER@HOTMAIL.COM</t>
  </si>
  <si>
    <t>T2-1B5</t>
  </si>
  <si>
    <t>188760,00</t>
  </si>
  <si>
    <t>MARK CHARLES OAKLEY</t>
  </si>
  <si>
    <t>MARK.OAKLEY@ACORNCONSULTING.VN</t>
  </si>
  <si>
    <t>016 9231 6565</t>
  </si>
  <si>
    <t>T2-1B6</t>
  </si>
  <si>
    <t>221100,00</t>
  </si>
  <si>
    <t>PHAM THI MAI HIEN</t>
  </si>
  <si>
    <t>0909 689 622</t>
  </si>
  <si>
    <t>T2-20A3</t>
  </si>
  <si>
    <t>NGUYEN THI THANH HIEN</t>
  </si>
  <si>
    <t>T2-20A4</t>
  </si>
  <si>
    <t>170390,00</t>
  </si>
  <si>
    <t>NGUYEN THI NAM LAN</t>
  </si>
  <si>
    <t>ORCHID30_3@YAHOO.COM</t>
  </si>
  <si>
    <t>T2-20B1</t>
  </si>
  <si>
    <t>221760,00</t>
  </si>
  <si>
    <t>T2-20B2</t>
  </si>
  <si>
    <t>227150,00</t>
  </si>
  <si>
    <t>LEE HYUK JE</t>
  </si>
  <si>
    <t>HJLEE@ORIONWORLD.COM</t>
  </si>
  <si>
    <t>T2-20B5</t>
  </si>
  <si>
    <t>T2-20B6</t>
  </si>
  <si>
    <t>235290,00</t>
  </si>
  <si>
    <t>T2-21A3</t>
  </si>
  <si>
    <t>156002,00</t>
  </si>
  <si>
    <t>NGUYEN MINH AN</t>
  </si>
  <si>
    <t>MINHAN2711@YAHOO.COM</t>
  </si>
  <si>
    <t>T2-21A4</t>
  </si>
  <si>
    <t>172590,00</t>
  </si>
  <si>
    <t>DO THI TUYET</t>
  </si>
  <si>
    <t>KIMNY@SINGNET.COM.SG</t>
  </si>
  <si>
    <t>T2-21B1</t>
  </si>
  <si>
    <t>229020,00</t>
  </si>
  <si>
    <t>NGUYEN HOANG ANH</t>
  </si>
  <si>
    <t>NHOANGANH75@YAHOO.COM</t>
  </si>
  <si>
    <t>0904 251 671</t>
  </si>
  <si>
    <t>HO THI MY THAM</t>
  </si>
  <si>
    <t>T2-21B2</t>
  </si>
  <si>
    <t>229900,00</t>
  </si>
  <si>
    <t>LEE KYUNG JAE</t>
  </si>
  <si>
    <t>T2-21B5</t>
  </si>
  <si>
    <t>187852,50</t>
  </si>
  <si>
    <t>NGUYEN HO UYEN ANH</t>
  </si>
  <si>
    <t>UYENANH1985@GMAIL.COM</t>
  </si>
  <si>
    <t>0929 555 322</t>
  </si>
  <si>
    <t>T2-21B6</t>
  </si>
  <si>
    <t>238150,00</t>
  </si>
  <si>
    <t>LE THANH TY</t>
  </si>
  <si>
    <t>3.865.4100</t>
  </si>
  <si>
    <t>T2-22A3</t>
  </si>
  <si>
    <t>167970,00</t>
  </si>
  <si>
    <t>HOANG NGAN HA</t>
  </si>
  <si>
    <t>HOANG.NGANHA@VIETNAM-LAND.COM</t>
  </si>
  <si>
    <t>T2-22A4</t>
  </si>
  <si>
    <t>174680,00</t>
  </si>
  <si>
    <t>NGUYEN QUANG PHUONG</t>
  </si>
  <si>
    <t>PHUONG.NGUYENQUANG@YAHOO.DE</t>
  </si>
  <si>
    <t>T2-22B1</t>
  </si>
  <si>
    <t>231770,00</t>
  </si>
  <si>
    <t>HUYNH THI BICH HONG</t>
  </si>
  <si>
    <t>FEI@HCM,FPT.VN</t>
  </si>
  <si>
    <t>T2-22B2</t>
  </si>
  <si>
    <t>232650,00</t>
  </si>
  <si>
    <t>T2-22B5</t>
  </si>
  <si>
    <t>223850,00</t>
  </si>
  <si>
    <t>DUONG KIM PHUONG</t>
  </si>
  <si>
    <t>MRSKIMPHUONG@GMAIL.COM</t>
  </si>
  <si>
    <t>37 446 289</t>
  </si>
  <si>
    <t>0903 808 909</t>
  </si>
  <si>
    <t>T2-22B6</t>
  </si>
  <si>
    <t>241010,00</t>
  </si>
  <si>
    <t>LIM ALFRED</t>
  </si>
  <si>
    <t>ORISOL@SINGNET.COM.SG</t>
  </si>
  <si>
    <t>T2-23P1</t>
  </si>
  <si>
    <t>930600,00</t>
  </si>
  <si>
    <t>HUYNH THI NHA TRANG</t>
  </si>
  <si>
    <t>T2-23P2</t>
  </si>
  <si>
    <t>989780,00</t>
  </si>
  <si>
    <t>CTY TNHH MOT THANH VIEN BAT DONG SAN AN THI</t>
  </si>
  <si>
    <t>VAN@IMG-LAW.COM</t>
  </si>
  <si>
    <t>04 3933 3010</t>
  </si>
  <si>
    <t>T2-23P3</t>
  </si>
  <si>
    <t>963490,00</t>
  </si>
  <si>
    <t>THUYDUONG@THIENDUCCO.VN</t>
  </si>
  <si>
    <t>3742..3327</t>
  </si>
  <si>
    <t>0903 778 787</t>
  </si>
  <si>
    <t>T2-23P4</t>
  </si>
  <si>
    <t>956010,00</t>
  </si>
  <si>
    <t>T2-2A3</t>
  </si>
  <si>
    <t>136950,00</t>
  </si>
  <si>
    <t>LE THI HANG</t>
  </si>
  <si>
    <t>T2-2A4</t>
  </si>
  <si>
    <t>158510,00</t>
  </si>
  <si>
    <t>PHUNG THI PHUONG LAN</t>
  </si>
  <si>
    <t>LANPHUNGPHUONG@PHF-BANK.COM.VN</t>
  </si>
  <si>
    <t>0913 807 184</t>
  </si>
  <si>
    <t>T2-2B1</t>
  </si>
  <si>
    <t>198110,00</t>
  </si>
  <si>
    <t>TON HOANG THUAN ANH</t>
  </si>
  <si>
    <t>TONHOANGTHUANANH@YAHOO.COM.AU</t>
  </si>
  <si>
    <t>T2-2B2</t>
  </si>
  <si>
    <t>217580,00</t>
  </si>
  <si>
    <t>CHNG KHENG LENG</t>
  </si>
  <si>
    <t>CLASSICPOOL@HOTMAIL.COM</t>
  </si>
  <si>
    <t>T2-2B5</t>
  </si>
  <si>
    <t>191730,00</t>
  </si>
  <si>
    <t>NGUYEN HAI DANG</t>
  </si>
  <si>
    <t>T2-2B6</t>
  </si>
  <si>
    <t>224404,31</t>
  </si>
  <si>
    <t>TRUONG THI HONG NGAN</t>
  </si>
  <si>
    <t>T2-3A3</t>
  </si>
  <si>
    <t>133760,00</t>
  </si>
  <si>
    <t>PHAN HUYNH HUYEN TRAN</t>
  </si>
  <si>
    <t>HUYENTRAN72@YAHOO.COM</t>
  </si>
  <si>
    <t>T2-3A4</t>
  </si>
  <si>
    <t>155100,00</t>
  </si>
  <si>
    <t>TRIKASEMSAK TAWIT</t>
  </si>
  <si>
    <t>TTAWIT@GMAIL.COM</t>
  </si>
  <si>
    <t>T2-3AA3</t>
  </si>
  <si>
    <t>135850,00</t>
  </si>
  <si>
    <t>NGUYEN VIET ANH</t>
  </si>
  <si>
    <t>NGUYENBVH@GMX.DE</t>
  </si>
  <si>
    <t>0977 461 594</t>
  </si>
  <si>
    <t>Overseas Vietnamese</t>
  </si>
  <si>
    <t>T2-3AA4</t>
  </si>
  <si>
    <t>NGUYEN LUKE LAN</t>
  </si>
  <si>
    <t>LUKE@REDLANTERN.COM.AU</t>
  </si>
  <si>
    <t>T2-3AB1</t>
  </si>
  <si>
    <t>187440,00</t>
  </si>
  <si>
    <t>HUYNH THI KIM MAI</t>
  </si>
  <si>
    <t>EIAVSGN@EIA.COM.VN</t>
  </si>
  <si>
    <t>T2-3AB2</t>
  </si>
  <si>
    <t>T2-3AB5</t>
  </si>
  <si>
    <t>181060,00</t>
  </si>
  <si>
    <t>DO HOANG HA</t>
  </si>
  <si>
    <t>DOHOANG_HA@YAHOO.COM</t>
  </si>
  <si>
    <t>T2-3AB6</t>
  </si>
  <si>
    <t>208450,00</t>
  </si>
  <si>
    <t>TAT NU</t>
  </si>
  <si>
    <t>T2-3B1</t>
  </si>
  <si>
    <t>184580,00</t>
  </si>
  <si>
    <t>NGUYEN VAN HOANG</t>
  </si>
  <si>
    <t>VANHOANG.NGUYEN@GMAIL.COM</t>
  </si>
  <si>
    <t>0983 114 803</t>
  </si>
  <si>
    <t>T2-3B2</t>
  </si>
  <si>
    <t>202950,00</t>
  </si>
  <si>
    <t>LE THI ANH THU</t>
  </si>
  <si>
    <t>THULA1981@YAHOO.COM</t>
  </si>
  <si>
    <t>0903 485 348</t>
  </si>
  <si>
    <t>T2-3B5</t>
  </si>
  <si>
    <t>178200,00</t>
  </si>
  <si>
    <t>T2-3B6</t>
  </si>
  <si>
    <t>209770,00</t>
  </si>
  <si>
    <t>CHONG CHOON KEAT</t>
  </si>
  <si>
    <t>KITCHONG@CHONGCHEN.COM.SG</t>
  </si>
  <si>
    <t>T2-5A3</t>
  </si>
  <si>
    <t>137830,00</t>
  </si>
  <si>
    <t>TRAN MINH DUC</t>
  </si>
  <si>
    <t>MDUC00@YAHOO.COM</t>
  </si>
  <si>
    <t>0983 220 660</t>
  </si>
  <si>
    <t>T2-5A4</t>
  </si>
  <si>
    <t>150700,00</t>
  </si>
  <si>
    <t>NGUYEN THI THU VAN</t>
  </si>
  <si>
    <t>THUVAN72@YAHOO.COM</t>
  </si>
  <si>
    <t>0918 007 131</t>
  </si>
  <si>
    <t>T2-5B1</t>
  </si>
  <si>
    <t>190190,00</t>
  </si>
  <si>
    <t>HOANG THI DUC HANH</t>
  </si>
  <si>
    <t>HANHD2@YAHOO.COM</t>
  </si>
  <si>
    <t>T2-5B2</t>
  </si>
  <si>
    <t>199980,00</t>
  </si>
  <si>
    <t>T2-5B5</t>
  </si>
  <si>
    <t>183700,00</t>
  </si>
  <si>
    <t>NGUYEN MINH TRANG</t>
  </si>
  <si>
    <t>CHAU.TRI@GMAIL.COM/TINA.MT.NGUYEN@GMAIL.COM</t>
  </si>
  <si>
    <t>T2-5B6</t>
  </si>
  <si>
    <t>207020,00</t>
  </si>
  <si>
    <t>TRAN TUYET LE</t>
  </si>
  <si>
    <t>LETRAN0211@YAHOO.COM</t>
  </si>
  <si>
    <t>54.490.914</t>
  </si>
  <si>
    <t>T2-6A3</t>
  </si>
  <si>
    <t>139920,00</t>
  </si>
  <si>
    <t>TRUONG NGOC PHUONG</t>
  </si>
  <si>
    <t>PHUONGTRUONG@DRAGONCAPITAL.COM</t>
  </si>
  <si>
    <t>T2-6A4</t>
  </si>
  <si>
    <t>VO KIM PHUONG</t>
  </si>
  <si>
    <t>VK.PHUONG@YAHOO.COM</t>
  </si>
  <si>
    <t>T2-6B1</t>
  </si>
  <si>
    <t>193050,00</t>
  </si>
  <si>
    <t>MAI DUC BAO</t>
  </si>
  <si>
    <t>BAO@MNI.COM.VN</t>
  </si>
  <si>
    <t>0919 695 050</t>
  </si>
  <si>
    <t>T2-6B2</t>
  </si>
  <si>
    <t>198660,00</t>
  </si>
  <si>
    <t>NGUYEN THI THANH HUYEN</t>
  </si>
  <si>
    <t>HUYENPT242@YAHOO.COM</t>
  </si>
  <si>
    <t>0903.662.200,</t>
  </si>
  <si>
    <t>T2-6B5</t>
  </si>
  <si>
    <t>186450,00</t>
  </si>
  <si>
    <t>LE THI KIM THANH HUE</t>
  </si>
  <si>
    <t>LILY040776@YAHOO.COM.VN</t>
  </si>
  <si>
    <t>0903 374 476</t>
  </si>
  <si>
    <t>T2-6B6</t>
  </si>
  <si>
    <t>205810,00</t>
  </si>
  <si>
    <t>T2-7A3</t>
  </si>
  <si>
    <t>TO THANH TAM</t>
  </si>
  <si>
    <t>BINGO21CMT8@YAHOO.COM</t>
  </si>
  <si>
    <t>T2-7A4</t>
  </si>
  <si>
    <t>140580,00</t>
  </si>
  <si>
    <t>NGO THI ANH THAO</t>
  </si>
  <si>
    <t>T2-7B1</t>
  </si>
  <si>
    <t>184690,00</t>
  </si>
  <si>
    <t>T2-7B2</t>
  </si>
  <si>
    <t>TRAN THI DUYEN HUONG</t>
  </si>
  <si>
    <t>THAOMYLOVELY@YAHOO.COM</t>
  </si>
  <si>
    <t>T2-7B5</t>
  </si>
  <si>
    <t>178310,00</t>
  </si>
  <si>
    <t>NGO THI PHUONG</t>
  </si>
  <si>
    <t>PHUONG@ANANH.COM</t>
  </si>
  <si>
    <t>T2-7B6</t>
  </si>
  <si>
    <t>205584,92</t>
  </si>
  <si>
    <t>NGUYEN THINH</t>
  </si>
  <si>
    <t>HUONGCHI1006@YAHOO.COM</t>
  </si>
  <si>
    <t>0120 291 1911</t>
  </si>
  <si>
    <t>NGUYEN CANH TUNG-REPEATED PURCHASER</t>
  </si>
  <si>
    <t>T2-8A3</t>
  </si>
  <si>
    <t>135740,00</t>
  </si>
  <si>
    <t>T2-8A4</t>
  </si>
  <si>
    <t>142670,00</t>
  </si>
  <si>
    <t>NGUYEN HUU DUC</t>
  </si>
  <si>
    <t>T2-8B1</t>
  </si>
  <si>
    <t>187330,00</t>
  </si>
  <si>
    <t>T2-8B2</t>
  </si>
  <si>
    <t>197505,00</t>
  </si>
  <si>
    <t>QUACH VAN DUC</t>
  </si>
  <si>
    <t>QUACHVANDUC@GMAIL.COM</t>
  </si>
  <si>
    <t>3955 8888</t>
  </si>
  <si>
    <t>0918 182 828</t>
  </si>
  <si>
    <t>NGUYEN CANH TUNG</t>
  </si>
  <si>
    <t>T2-8B5</t>
  </si>
  <si>
    <t>180950,00</t>
  </si>
  <si>
    <t>T2-8B6</t>
  </si>
  <si>
    <t>196900,00</t>
  </si>
  <si>
    <t>LE THI CAM TU</t>
  </si>
  <si>
    <t>CAMTULETHI@YAHOO.COM</t>
  </si>
  <si>
    <t>T2-9A3</t>
  </si>
  <si>
    <t>137720,00</t>
  </si>
  <si>
    <t>NGUYEN THI MAI PHUONG</t>
  </si>
  <si>
    <t>MAIPHUONG26@YAHOO.COM</t>
  </si>
  <si>
    <t>T2-9A4</t>
  </si>
  <si>
    <t>144760,00</t>
  </si>
  <si>
    <t>NGUYEN HA MY HANH</t>
  </si>
  <si>
    <t>HUNGNGOC2006@HCM.FPT.VN</t>
  </si>
  <si>
    <t>T2-9B1</t>
  </si>
  <si>
    <t>T2-9B2</t>
  </si>
  <si>
    <t>192940,00</t>
  </si>
  <si>
    <t>T2-9B5</t>
  </si>
  <si>
    <t>183480,00</t>
  </si>
  <si>
    <t>T2-9B6</t>
  </si>
  <si>
    <t>AVI SHPAK</t>
  </si>
  <si>
    <t>AV.KIMVIET@GMAIL.COM</t>
  </si>
  <si>
    <t>T2-GB5</t>
  </si>
  <si>
    <t>211090,00</t>
  </si>
  <si>
    <t>HA MINH HAI</t>
  </si>
  <si>
    <t>HAI@MSCA.COM.VN</t>
  </si>
  <si>
    <t>T2-GB6</t>
  </si>
  <si>
    <t>TOWER 3</t>
  </si>
  <si>
    <t>T3-10A3</t>
  </si>
  <si>
    <t>NGUYEN QUOC CUONG</t>
  </si>
  <si>
    <t>CUONG_BNBLM@YAHOO.COM</t>
  </si>
  <si>
    <t>0957.010.510</t>
  </si>
  <si>
    <t>T3-10A4</t>
  </si>
  <si>
    <t>145676,70</t>
  </si>
  <si>
    <t>TR&amp;#7846;N TRUNG NAM</t>
  </si>
  <si>
    <t>NAM.TRAN@GET.NET.VN</t>
  </si>
  <si>
    <t>0914 293 838</t>
  </si>
  <si>
    <t>T3-10A5</t>
  </si>
  <si>
    <t>211310,00</t>
  </si>
  <si>
    <t>T3-10A6</t>
  </si>
  <si>
    <t>150727,50</t>
  </si>
  <si>
    <t>LUONG DAT AN</t>
  </si>
  <si>
    <t>ANLIANG1668@GMAIL.COM</t>
  </si>
  <si>
    <t>0918 899 349</t>
  </si>
  <si>
    <t>TRUONG THI HONG NGAN-COMPAREAL AGENT</t>
  </si>
  <si>
    <t>T3-10B1</t>
  </si>
  <si>
    <t>196253,23</t>
  </si>
  <si>
    <t>CTY TNHH DAU TU VA PHAT TRIEN DE NHAT</t>
  </si>
  <si>
    <t>SREHANI@MSN.COM</t>
  </si>
  <si>
    <t>043 936 0737</t>
  </si>
  <si>
    <t>TRAN THI XUAN TRANG</t>
  </si>
  <si>
    <t>T3-10B2</t>
  </si>
  <si>
    <t>291610,00</t>
  </si>
  <si>
    <t>NGUYEN THUY DIEU HIEN</t>
  </si>
  <si>
    <t>HIENNGUYEN168@YAHOO.COM</t>
  </si>
  <si>
    <t>0906 969 389</t>
  </si>
  <si>
    <t>LE THACH VAN</t>
  </si>
  <si>
    <t>T3-10B7</t>
  </si>
  <si>
    <t>211167,00</t>
  </si>
  <si>
    <t>LE VAN HOANG MINH</t>
  </si>
  <si>
    <t>HUONGHQ@YAHOO.COM</t>
  </si>
  <si>
    <t>016 8886 9999</t>
  </si>
  <si>
    <t>PHAM THI HUYEN TRANG-KIM DIEN AGENT</t>
  </si>
  <si>
    <t>T3-10B8</t>
  </si>
  <si>
    <t>191614,50</t>
  </si>
  <si>
    <t>NGUYEN THI NHU THAI</t>
  </si>
  <si>
    <t>NHUTHAI76@GMAIL.COM</t>
  </si>
  <si>
    <t>0906 590 890</t>
  </si>
  <si>
    <t>PHAM THI HUYEN TRANG-HUNG HUNG THINH</t>
  </si>
  <si>
    <t>T3-11A3</t>
  </si>
  <si>
    <t>218570,00</t>
  </si>
  <si>
    <t>NGUYEN THI YEN PHUONG</t>
  </si>
  <si>
    <t>YENPHUONG@NIENTHANH.COM</t>
  </si>
  <si>
    <t>T3-11A4</t>
  </si>
  <si>
    <t>173057,50</t>
  </si>
  <si>
    <t>PHUNG VAN THANH</t>
  </si>
  <si>
    <t>THANH@PBOX.COM.VN</t>
  </si>
  <si>
    <t>0904 090 393</t>
  </si>
  <si>
    <t>T3-11A5</t>
  </si>
  <si>
    <t>216150,00</t>
  </si>
  <si>
    <t>T3-11A6</t>
  </si>
  <si>
    <t>142353,75</t>
  </si>
  <si>
    <t>LE HOANG HAI</t>
  </si>
  <si>
    <t>HAILE@Y7MAIL.COM</t>
  </si>
  <si>
    <t>0933 746 888</t>
  </si>
  <si>
    <t>TRUONG THI HONG NGAN-SEAREAL AGENT</t>
  </si>
  <si>
    <t>T3-11B1</t>
  </si>
  <si>
    <t>195525,00</t>
  </si>
  <si>
    <t>NGUYEN THI KIM DUNG</t>
  </si>
  <si>
    <t>HAI@BECAMEXTIC.COM</t>
  </si>
  <si>
    <t>0906 885 488</t>
  </si>
  <si>
    <t>T3-11B2</t>
  </si>
  <si>
    <t>PHAN THANH XUAN</t>
  </si>
  <si>
    <t>XUANPT.SG@GMAIL.COM</t>
  </si>
  <si>
    <t>0908 194 050</t>
  </si>
  <si>
    <t>0983 944 005</t>
  </si>
  <si>
    <t>T3-11B7</t>
  </si>
  <si>
    <t>302830,00</t>
  </si>
  <si>
    <t>T3-11B8</t>
  </si>
  <si>
    <t>HO MONG THU</t>
  </si>
  <si>
    <t>ALICEHO.MT@GMAIL.COM</t>
  </si>
  <si>
    <t>0902 489 178</t>
  </si>
  <si>
    <t>NGUYEN THI HAI VAN-HUNG HUNG THINH AGENT</t>
  </si>
  <si>
    <t>T3-12A3</t>
  </si>
  <si>
    <t>221430,00</t>
  </si>
  <si>
    <t>DO THI THANH HA</t>
  </si>
  <si>
    <t>DOHA@C-PHARMACHEM.COM</t>
  </si>
  <si>
    <t>T3-12A4</t>
  </si>
  <si>
    <t>159212,90</t>
  </si>
  <si>
    <t>NGUYEN NGOC BAO HANG</t>
  </si>
  <si>
    <t>AQUARIUS.BH@GMAIL.COM, SMILEQK@GMAIL.COM</t>
  </si>
  <si>
    <t>0989 208 950</t>
  </si>
  <si>
    <t>T3-12A5</t>
  </si>
  <si>
    <t>YANAI HIROTAMI</t>
  </si>
  <si>
    <t>HYANAI@MAILVN.COM</t>
  </si>
  <si>
    <t>T3-12A6</t>
  </si>
  <si>
    <t>225786,00</t>
  </si>
  <si>
    <t>VO QUOC LUAN</t>
  </si>
  <si>
    <t>QLUAN@HOTMAIL.COM</t>
  </si>
  <si>
    <t>T3-12AA3</t>
  </si>
  <si>
    <t>246840,00</t>
  </si>
  <si>
    <t>FLEMING INTERNATIONAL VIETNAM LIMITED</t>
  </si>
  <si>
    <t>VF.ACCOUNT2@FLEMING.COM.VN</t>
  </si>
  <si>
    <t>061 393 6869</t>
  </si>
  <si>
    <t>T3-12AA4</t>
  </si>
  <si>
    <t>164164,89</t>
  </si>
  <si>
    <t>HONG UYEN TRAN</t>
  </si>
  <si>
    <t>FORTUNESG@NANOCO.COM.VN</t>
  </si>
  <si>
    <t>NGUYEN THUY DUONG</t>
  </si>
  <si>
    <t>T3-12AA5</t>
  </si>
  <si>
    <t>CHUE KIM FAT</t>
  </si>
  <si>
    <t>JOHNCHUE@GMAIL.COM</t>
  </si>
  <si>
    <t>0903 838 024</t>
  </si>
  <si>
    <t>T3-12AA6</t>
  </si>
  <si>
    <t>NGUYEN THI HONG AN</t>
  </si>
  <si>
    <t>VIET.HONG.KY@GMAIL.COM</t>
  </si>
  <si>
    <t>0908 160 471</t>
  </si>
  <si>
    <t>PHAM THI HUYEN TRANG-REFERRAL</t>
  </si>
  <si>
    <t>T3-12AB1</t>
  </si>
  <si>
    <t>NGUYEN NGOC HUONG</t>
  </si>
  <si>
    <t>T3-12AB2</t>
  </si>
  <si>
    <t>208169,99</t>
  </si>
  <si>
    <t>CHOU, YI-MIN</t>
  </si>
  <si>
    <t>SAM9702KIMO@GMAIL.COM</t>
  </si>
  <si>
    <t>0963 147 674</t>
  </si>
  <si>
    <t>T3-12AB7</t>
  </si>
  <si>
    <t>310970,00</t>
  </si>
  <si>
    <t>ESCULIER ELSA HOLZGRAF</t>
  </si>
  <si>
    <t>ELSA@MPOWERGROUP.COM</t>
  </si>
  <si>
    <t>T3-12AB8</t>
  </si>
  <si>
    <t>193662,85</t>
  </si>
  <si>
    <t>LAM THANH TUNG</t>
  </si>
  <si>
    <t>MRLAMTHANHTUNG@YAHOO.COM.VN</t>
  </si>
  <si>
    <t>0994 878 274</t>
  </si>
  <si>
    <t>PHAM THI HUYEN TRANG-SEAREAL AGENT</t>
  </si>
  <si>
    <t>T3-12B1</t>
  </si>
  <si>
    <t>310530,00</t>
  </si>
  <si>
    <t>DANG XUAN DIEU</t>
  </si>
  <si>
    <t>MSGR01@MAIL.RU; DIEU@MSN.MASANGROUP.COM, HA.NGUYENVAN@YAHOO.COM</t>
  </si>
  <si>
    <t>0903 666 286</t>
  </si>
  <si>
    <t>0986 909 079</t>
  </si>
  <si>
    <t>T3-12B2</t>
  </si>
  <si>
    <t>234630,00</t>
  </si>
  <si>
    <t>GIA THI BICH LOAN</t>
  </si>
  <si>
    <t>GEORGE@WHITEFEATHERS.COM.MY</t>
  </si>
  <si>
    <t>0978 388 833</t>
  </si>
  <si>
    <t>PHAM THI HUYEN TRANG-COMPAREAL-SEAREAL</t>
  </si>
  <si>
    <t>T3-12B7</t>
  </si>
  <si>
    <t>306900,00</t>
  </si>
  <si>
    <t>NGUYEN QUE TAM</t>
  </si>
  <si>
    <t>QUETAM@VNN.VN</t>
  </si>
  <si>
    <t>T3-12B8</t>
  </si>
  <si>
    <t>208321,64</t>
  </si>
  <si>
    <t>NGUYEN THI KIM CHI</t>
  </si>
  <si>
    <t>NGUYENTHIKIMCHI1979@GMAIL.COM</t>
  </si>
  <si>
    <t>0933 985 818</t>
  </si>
  <si>
    <t>NGUYEN SON TUNG</t>
  </si>
  <si>
    <t>T3-12BA3</t>
  </si>
  <si>
    <t>227480,00</t>
  </si>
  <si>
    <t>NGUYEN MINH LONG</t>
  </si>
  <si>
    <t>NGUYENLONGKG@GMAIL.COM</t>
  </si>
  <si>
    <t>T3-12BA4</t>
  </si>
  <si>
    <t>NGO DUY ANH</t>
  </si>
  <si>
    <t>MICHAEL.A.NGO@GMAIL.COM</t>
  </si>
  <si>
    <t>6263 8925</t>
  </si>
  <si>
    <t>0908 015 219</t>
  </si>
  <si>
    <t>T3-12BA5</t>
  </si>
  <si>
    <t>225060,00</t>
  </si>
  <si>
    <t>CHANG MARGUERITE</t>
  </si>
  <si>
    <t>PARADOXEKIM@HOTMAIL.COM</t>
  </si>
  <si>
    <t>0903 700 937</t>
  </si>
  <si>
    <t>00 33 623 613 559</t>
  </si>
  <si>
    <t>T3-12BA6</t>
  </si>
  <si>
    <t>NGUYEN THI THUY DUONG</t>
  </si>
  <si>
    <t>THUYDUONG1019@GMAIL.COM</t>
  </si>
  <si>
    <t>0933 273 576</t>
  </si>
  <si>
    <t>PHAM THI HUYEN TRANG-EXTERNAL AGENT</t>
  </si>
  <si>
    <t>T3-12BB1</t>
  </si>
  <si>
    <t>318890,00</t>
  </si>
  <si>
    <t>PHAM VU TUYET MAI</t>
  </si>
  <si>
    <t>PHAMMAICA@YAHOO.COM</t>
  </si>
  <si>
    <t>0914 712 518</t>
  </si>
  <si>
    <t>0972 77 1050</t>
  </si>
  <si>
    <t>TRAN THI THU THAO</t>
  </si>
  <si>
    <t>T3-12BB2</t>
  </si>
  <si>
    <t>307560,00</t>
  </si>
  <si>
    <t>TRUONG THI BICH NGOC</t>
  </si>
  <si>
    <t>NDCVN@HCM.VNN.VN - TBNGOC3@GMAIL.COM</t>
  </si>
  <si>
    <t>0903 805 991</t>
  </si>
  <si>
    <t>0906 390 963</t>
  </si>
  <si>
    <t>T3-12BB7</t>
  </si>
  <si>
    <t>315260,00</t>
  </si>
  <si>
    <t>CHEN YEN YEO</t>
  </si>
  <si>
    <t>YYCHEN@TMI.COM.VN</t>
  </si>
  <si>
    <t>THAI LE THIEN TRAM</t>
  </si>
  <si>
    <t>T3-12BB8</t>
  </si>
  <si>
    <t>NGUYEN THI DINH</t>
  </si>
  <si>
    <t>ONGNGOCKHOAT@GMAIL.COM</t>
  </si>
  <si>
    <t>0903 661 401</t>
  </si>
  <si>
    <t>T3-15A3</t>
  </si>
  <si>
    <t>230450,00</t>
  </si>
  <si>
    <t>T3-15A4</t>
  </si>
  <si>
    <t>CARLOS HUBERTO LEAUTAUD DO NASCIMENTO</t>
  </si>
  <si>
    <t>CARLOSHUBERTO@ME.COM</t>
  </si>
  <si>
    <t>T3-15A5</t>
  </si>
  <si>
    <t>184539,48</t>
  </si>
  <si>
    <t>PHAM BACH DUONG</t>
  </si>
  <si>
    <t>DUONG.PHAMBACH@GIDE.COM</t>
  </si>
  <si>
    <t>0904 249 416</t>
  </si>
  <si>
    <t>0978 832 577</t>
  </si>
  <si>
    <t>T3-15A6</t>
  </si>
  <si>
    <t>LE THI HONG VAN</t>
  </si>
  <si>
    <t>VAN-THI-HONG.LE@SC.COM</t>
  </si>
  <si>
    <t>0903 200 915</t>
  </si>
  <si>
    <t>0978 941 899</t>
  </si>
  <si>
    <t>T3-15B1</t>
  </si>
  <si>
    <t>322960,00</t>
  </si>
  <si>
    <t>T3-15B2</t>
  </si>
  <si>
    <t>311520,00</t>
  </si>
  <si>
    <t>TSAN HSUN LIN</t>
  </si>
  <si>
    <t>JANLING0925@HOTMAIL.COM</t>
  </si>
  <si>
    <t>0913 941 718</t>
  </si>
  <si>
    <t>T3-15B7</t>
  </si>
  <si>
    <t>329330,00</t>
  </si>
  <si>
    <t>HA NGOC THANH THAO</t>
  </si>
  <si>
    <t>THAOGIROUX@GMAIL.COM</t>
  </si>
  <si>
    <t>0908 993 977</t>
  </si>
  <si>
    <t>0908 615 999</t>
  </si>
  <si>
    <t>T3-15B8</t>
  </si>
  <si>
    <t>193662,87</t>
  </si>
  <si>
    <t>UMW EQUIPMENT SYSTEMS (VIETNAM) CO., LTD.</t>
  </si>
  <si>
    <t>0650 3743 500</t>
  </si>
  <si>
    <t>0933 510 668</t>
  </si>
  <si>
    <t>T3-16B3</t>
  </si>
  <si>
    <t>350350,00</t>
  </si>
  <si>
    <t>NGUYEN ANH NGOC</t>
  </si>
  <si>
    <t>ANHNGOC181099@YAHOO.COM</t>
  </si>
  <si>
    <t>T3-16B4</t>
  </si>
  <si>
    <t>212236,64</t>
  </si>
  <si>
    <t>LAM DI LINH</t>
  </si>
  <si>
    <t>ALAMMX6@GMAIL.COM</t>
  </si>
  <si>
    <t>0978 881 100</t>
  </si>
  <si>
    <t>T3-16C1</t>
  </si>
  <si>
    <t>403810,00</t>
  </si>
  <si>
    <t>DANG THI KIM DUNG</t>
  </si>
  <si>
    <t>DC@VISCO-VN.COM</t>
  </si>
  <si>
    <t>T3-16C2</t>
  </si>
  <si>
    <t>228228,00</t>
  </si>
  <si>
    <t>NGUYEN TAN LOI</t>
  </si>
  <si>
    <t>T3-16C5</t>
  </si>
  <si>
    <t>242492,24</t>
  </si>
  <si>
    <t>NGUYEN THANH HIEN</t>
  </si>
  <si>
    <t>HIENPHUC68@YAHOO.COM</t>
  </si>
  <si>
    <t>0948 739 756</t>
  </si>
  <si>
    <t>0918 956 080</t>
  </si>
  <si>
    <t>T3-16C6</t>
  </si>
  <si>
    <t>237737,50</t>
  </si>
  <si>
    <t>CTY CP QL GIAO DUC VA DAU TU E M G</t>
  </si>
  <si>
    <t>EMGHCM@YAHOO.COM.VN</t>
  </si>
  <si>
    <t>0904 208 486</t>
  </si>
  <si>
    <t>NGUYEN CANH TUNG-THE GIOI BDS AGENT</t>
  </si>
  <si>
    <t>T3-17B3</t>
  </si>
  <si>
    <t>215136,05</t>
  </si>
  <si>
    <t>NGUYEN BA QUANG</t>
  </si>
  <si>
    <t>QUANG.NGUYEN@AZ-GROUP.VN</t>
  </si>
  <si>
    <t>0903 927 527</t>
  </si>
  <si>
    <t>T3-17B4</t>
  </si>
  <si>
    <t>219295,82</t>
  </si>
  <si>
    <t>WANG, CHIN-TSAN</t>
  </si>
  <si>
    <t>PIG38492000@GMAIL.COM</t>
  </si>
  <si>
    <t>0122 203 9899</t>
  </si>
  <si>
    <t>NGUYEN THI HAI VAN-HOA BINH AGENT</t>
  </si>
  <si>
    <t>T3-17C1</t>
  </si>
  <si>
    <t>418870,00</t>
  </si>
  <si>
    <t>LE THI THU THUY</t>
  </si>
  <si>
    <t>THUY.HAGAN@GMAIL.COM</t>
  </si>
  <si>
    <t>T3-17C2</t>
  </si>
  <si>
    <t>242302,06</t>
  </si>
  <si>
    <t>NGUYEN THI QUYNH HUONG</t>
  </si>
  <si>
    <t>QUEENIE.QUYNH2010@GMAIL.COM</t>
  </si>
  <si>
    <t>0904 371 368</t>
  </si>
  <si>
    <t>T3-17C5</t>
  </si>
  <si>
    <t>268532,66</t>
  </si>
  <si>
    <t>CTY TNHH VINKEMS</t>
  </si>
  <si>
    <t>HUONGNGUYEN@LEICOSMETICS.COM</t>
  </si>
  <si>
    <t>066 389 7704</t>
  </si>
  <si>
    <t>0903 713 924</t>
  </si>
  <si>
    <t>T3-17C6</t>
  </si>
  <si>
    <t>244964,72</t>
  </si>
  <si>
    <t>LE THI THU HUONG</t>
  </si>
  <si>
    <t>HUONG0910@YAHOO.COM</t>
  </si>
  <si>
    <t>0903 442 999</t>
  </si>
  <si>
    <t>T3-18B3</t>
  </si>
  <si>
    <t>359260,00</t>
  </si>
  <si>
    <t>T3-18B4</t>
  </si>
  <si>
    <t>214774,25</t>
  </si>
  <si>
    <t>NGUYEN THANH HAN</t>
  </si>
  <si>
    <t>WINDY@GENUINEPARTNER</t>
  </si>
  <si>
    <t>T3-18C1</t>
  </si>
  <si>
    <t>414150,00</t>
  </si>
  <si>
    <t>TANG CHONG YUEN</t>
  </si>
  <si>
    <t>COLLIN.TANG.CY@GMAIL.COM</t>
  </si>
  <si>
    <t>T3-18C2</t>
  </si>
  <si>
    <t>398970,00</t>
  </si>
  <si>
    <t>T3-18C5</t>
  </si>
  <si>
    <t>261466,01</t>
  </si>
  <si>
    <t>LE MINH DUC</t>
  </si>
  <si>
    <t>QUANGNGHIA76@GMAIL.COM</t>
  </si>
  <si>
    <t>08 3823 9779</t>
  </si>
  <si>
    <t>T3-18C6</t>
  </si>
  <si>
    <t>266266,00</t>
  </si>
  <si>
    <t>VU LE THU TRANG</t>
  </si>
  <si>
    <t>VULETHUTRANG@GMAIL.COM</t>
  </si>
  <si>
    <t>0935 798 899</t>
  </si>
  <si>
    <t>T3-19B3</t>
  </si>
  <si>
    <t>222453,00</t>
  </si>
  <si>
    <t>LUU QUANG HIEN</t>
  </si>
  <si>
    <t>LUUMEMINE@YAHOO.CO.UK</t>
  </si>
  <si>
    <t>0903 206 222</t>
  </si>
  <si>
    <t>T3-19B4</t>
  </si>
  <si>
    <t>219295,81</t>
  </si>
  <si>
    <t>LIAO, YI-CHANG</t>
  </si>
  <si>
    <t>BESTKINGJAMES@YAHOO.COM.TW</t>
  </si>
  <si>
    <t>0919 665 368</t>
  </si>
  <si>
    <t>T3-19C1</t>
  </si>
  <si>
    <t>419320,00</t>
  </si>
  <si>
    <t>T3-19C2</t>
  </si>
  <si>
    <t>242492,25</t>
  </si>
  <si>
    <t>NGUYEN TUAN ANH</t>
  </si>
  <si>
    <t>DUNGDIINH@YAHOO.COM.VN</t>
  </si>
  <si>
    <t>0942 855 515</t>
  </si>
  <si>
    <t>PHAM THI HUYEN TRANG-COMPAREAL AGENT</t>
  </si>
  <si>
    <t>T3-19C5</t>
  </si>
  <si>
    <t>322372,60</t>
  </si>
  <si>
    <t>HOANG DUC HUY</t>
  </si>
  <si>
    <t>T3-19C6</t>
  </si>
  <si>
    <t>240065,43</t>
  </si>
  <si>
    <t>NGUYEN THI BICH MI</t>
  </si>
  <si>
    <t>MITRADING_CO@YAHOO.COM.SG</t>
  </si>
  <si>
    <t>NGUYEN THI HAI VAN-DISC 2% APT PRICE</t>
  </si>
  <si>
    <t>T3-1A3</t>
  </si>
  <si>
    <t>207790,00</t>
  </si>
  <si>
    <t>LE TRIEU HUY VU</t>
  </si>
  <si>
    <t>LETRIEUHUYVU@VNN.VN</t>
  </si>
  <si>
    <t>016.9999.1111</t>
  </si>
  <si>
    <t>T3-1A4</t>
  </si>
  <si>
    <t>176950,40</t>
  </si>
  <si>
    <t>HAN THUY BAO HIEN</t>
  </si>
  <si>
    <t>BAOHAN@ANBINHPAPER.COM</t>
  </si>
  <si>
    <t>T3-1A5</t>
  </si>
  <si>
    <t>228569,00</t>
  </si>
  <si>
    <t>NGUYEN THI BICH LIEN</t>
  </si>
  <si>
    <t>DONAMAY@HCM.VNN.VN</t>
  </si>
  <si>
    <t>T3-1A6</t>
  </si>
  <si>
    <t>207878,00</t>
  </si>
  <si>
    <t>TRUONG MINH LY</t>
  </si>
  <si>
    <t>LYTRUONG08@ATT.NET</t>
  </si>
  <si>
    <t>T3-1B1</t>
  </si>
  <si>
    <t>226413,88</t>
  </si>
  <si>
    <t>SIMONNGOC@GMAIL.COM</t>
  </si>
  <si>
    <t>0913 714 602</t>
  </si>
  <si>
    <t>T3-1B2</t>
  </si>
  <si>
    <t>300620,00</t>
  </si>
  <si>
    <t>LE HONG NAM</t>
  </si>
  <si>
    <t>KELVIN.NAM@GMAIL.COM</t>
  </si>
  <si>
    <t>0903 377 548</t>
  </si>
  <si>
    <t>T3-1B7</t>
  </si>
  <si>
    <t>229926,87</t>
  </si>
  <si>
    <t>NGUYEN NGOC THUY</t>
  </si>
  <si>
    <t>THUY_MCDONALD@YAHOO.COM</t>
  </si>
  <si>
    <t>0120 301 0300</t>
  </si>
  <si>
    <t>T3-1B8</t>
  </si>
  <si>
    <t>306372,00</t>
  </si>
  <si>
    <t>HONG KIM CHI</t>
  </si>
  <si>
    <t>KIMCHI@MYLOC-CORP.COM</t>
  </si>
  <si>
    <t>T3-20B3</t>
  </si>
  <si>
    <t>226160,55</t>
  </si>
  <si>
    <t>CHNG KENG HUI</t>
  </si>
  <si>
    <t>CHAMELON@SINGNET.COM.SG</t>
  </si>
  <si>
    <t>T3-20B4</t>
  </si>
  <si>
    <t>YEH, KUEN-DING</t>
  </si>
  <si>
    <t>BRUTUSYEH@GMAIL.COM</t>
  </si>
  <si>
    <t>0903 621 168</t>
  </si>
  <si>
    <t>T3-20C1</t>
  </si>
  <si>
    <t>256756,50</t>
  </si>
  <si>
    <t>CTY TNHH DICH VU ODYSSEY</t>
  </si>
  <si>
    <t>YENPHAN@ODYSSEY-RESOURCES.COM</t>
  </si>
  <si>
    <t>08.3812 5562</t>
  </si>
  <si>
    <t>0963 788 710</t>
  </si>
  <si>
    <t>T3-20C2</t>
  </si>
  <si>
    <t>NGUYEN TRINH HIEN</t>
  </si>
  <si>
    <t>HIEN@MAIC.COM.VN</t>
  </si>
  <si>
    <t>0908 485 656</t>
  </si>
  <si>
    <t>PHAM THI HUYEN TRANG-DISC 2% APT PRICE</t>
  </si>
  <si>
    <t>T3-20C5</t>
  </si>
  <si>
    <t>251621,37</t>
  </si>
  <si>
    <t>LAI THI MINH</t>
  </si>
  <si>
    <t>MINHLT@ETECHSG.COM.VN</t>
  </si>
  <si>
    <t>0903 104 607</t>
  </si>
  <si>
    <t>T3-20C6</t>
  </si>
  <si>
    <t>247247,00</t>
  </si>
  <si>
    <t>NGUYEN LE CHI MAI</t>
  </si>
  <si>
    <t>MAI.NGUYEN@PHUONGNGA.COM</t>
  </si>
  <si>
    <t>0918 906 331</t>
  </si>
  <si>
    <t>T3-21D1</t>
  </si>
  <si>
    <t>503372,10</t>
  </si>
  <si>
    <t>T3-21D2</t>
  </si>
  <si>
    <t>513645,00</t>
  </si>
  <si>
    <t>VAN THU THUY</t>
  </si>
  <si>
    <t>CINDYBB2005@MSN.COM</t>
  </si>
  <si>
    <t>0936 222 888</t>
  </si>
  <si>
    <t>T3-21D3</t>
  </si>
  <si>
    <t>375202,15</t>
  </si>
  <si>
    <t>T3-21D4</t>
  </si>
  <si>
    <t>423695,25</t>
  </si>
  <si>
    <t>CTY TNHH PHAN PHOI LIEN KET QUOC TE</t>
  </si>
  <si>
    <t>TRANQUOC.HUNG@ILD.COM.VN</t>
  </si>
  <si>
    <t>08 3547 3030</t>
  </si>
  <si>
    <t>0913 156 581</t>
  </si>
  <si>
    <t>PHAM THI THUY TRANG-DIA OC 24H AGENT</t>
  </si>
  <si>
    <t>T3-21D5</t>
  </si>
  <si>
    <t>GRAHAM MACDONALD BELL</t>
  </si>
  <si>
    <t>GMBELL@SINGNET.COM.SG</t>
  </si>
  <si>
    <t>T3-21D6</t>
  </si>
  <si>
    <t>NGUYEN KHANH LINH</t>
  </si>
  <si>
    <t>0903 452 103</t>
  </si>
  <si>
    <t>T3-23P1</t>
  </si>
  <si>
    <t>844668,00</t>
  </si>
  <si>
    <t>CONG TY TNHH LEI VIET NAM</t>
  </si>
  <si>
    <t>08 3827 2988</t>
  </si>
  <si>
    <t>T3-23P3</t>
  </si>
  <si>
    <t>755964,00</t>
  </si>
  <si>
    <t>CTY TNHH RENOMA</t>
  </si>
  <si>
    <t>SON@CENTEC.VN</t>
  </si>
  <si>
    <t>0908 572 866</t>
  </si>
  <si>
    <t>T3-23P5</t>
  </si>
  <si>
    <t>T3-2A3</t>
  </si>
  <si>
    <t>231836,00</t>
  </si>
  <si>
    <t>PHAN DANG CUONG</t>
  </si>
  <si>
    <t>PDCUONG2@YAHOO.COM</t>
  </si>
  <si>
    <t>04 3758 8534</t>
  </si>
  <si>
    <t>0912 102 611</t>
  </si>
  <si>
    <t>T3-2A4</t>
  </si>
  <si>
    <t>PHAM THANH MAI</t>
  </si>
  <si>
    <t>(US)001 713 366 2613</t>
  </si>
  <si>
    <t>T3-2A5</t>
  </si>
  <si>
    <t>LEE JUN HO</t>
  </si>
  <si>
    <t>JUSTIN@EMBPRINT.NET</t>
  </si>
  <si>
    <t>T3-2A6</t>
  </si>
  <si>
    <t>210903,00</t>
  </si>
  <si>
    <t>TRAN THUY LOC</t>
  </si>
  <si>
    <t>LOC.TRAN@ARUP.COM</t>
  </si>
  <si>
    <t>35 107 753</t>
  </si>
  <si>
    <t>T3-2B1</t>
  </si>
  <si>
    <t>298760,00</t>
  </si>
  <si>
    <t>ANNA ANDREEVA</t>
  </si>
  <si>
    <t>ANNA.CAMRANH@GMAIL.COM</t>
  </si>
  <si>
    <t>T3-2B2</t>
  </si>
  <si>
    <t>294800,00</t>
  </si>
  <si>
    <t>DANG XUAN NGOC QUYNH</t>
  </si>
  <si>
    <t>QUYNHSOTAPC@SOTAPC.COM</t>
  </si>
  <si>
    <t>T3-2B7</t>
  </si>
  <si>
    <t>NGUYEN TIEN TRUNG</t>
  </si>
  <si>
    <t>TRUNGNT@TICHGIANG.COM</t>
  </si>
  <si>
    <t>T3-2B8</t>
  </si>
  <si>
    <t>230335,73</t>
  </si>
  <si>
    <t>TRINH THI MINH THU</t>
  </si>
  <si>
    <t>TMTHU1409@YAHOO.COM</t>
  </si>
  <si>
    <t>0914 103 579</t>
  </si>
  <si>
    <t>T3-3A3</t>
  </si>
  <si>
    <t>192720,00</t>
  </si>
  <si>
    <t>HOANG THI THANH</t>
  </si>
  <si>
    <t>BOKHUBEE@GMAIL.COM</t>
  </si>
  <si>
    <t>04 3971 6623</t>
  </si>
  <si>
    <t>0913 223 002</t>
  </si>
  <si>
    <t>T3-3A4</t>
  </si>
  <si>
    <t>DANG VIET HUONG</t>
  </si>
  <si>
    <t>VIETHUONGDANG@YAHOO.COM</t>
  </si>
  <si>
    <t>0932 778 953</t>
  </si>
  <si>
    <t>T3-3A5</t>
  </si>
  <si>
    <t>211992,00</t>
  </si>
  <si>
    <t>NGUYEN XUAN HUY</t>
  </si>
  <si>
    <t>NAMHAICO@GMAIL.COM</t>
  </si>
  <si>
    <t>T3-3A6</t>
  </si>
  <si>
    <t>145145,00</t>
  </si>
  <si>
    <t>NGUYEN THI KIM YEN</t>
  </si>
  <si>
    <t>KIMYEN123@GMAIL.COM</t>
  </si>
  <si>
    <t>0903 626 063</t>
  </si>
  <si>
    <t>NGUYEN SON TUNG-HUNG HUNG THINH AGENT</t>
  </si>
  <si>
    <t>T3-3AA3</t>
  </si>
  <si>
    <t>SAW LENG CHEANG</t>
  </si>
  <si>
    <t>SAW_LENGCHEANG@YAHOO.COM</t>
  </si>
  <si>
    <t>T3-3AA4</t>
  </si>
  <si>
    <t>187110,00</t>
  </si>
  <si>
    <t>NGUYEN HOANG TUAN</t>
  </si>
  <si>
    <t>TUAN_NGHOANG@YAHOO.COM</t>
  </si>
  <si>
    <t>T3-3AA5</t>
  </si>
  <si>
    <t>NGUYEN PHUONG NGUYET HA</t>
  </si>
  <si>
    <t>T3-3AA6</t>
  </si>
  <si>
    <t>TRINH THU TRANG</t>
  </si>
  <si>
    <t>QUAT0959@GMAIL.COM</t>
  </si>
  <si>
    <t>0934 345 566</t>
  </si>
  <si>
    <t>T3-3AB1</t>
  </si>
  <si>
    <t>272470,00</t>
  </si>
  <si>
    <t>NGUYEN DINH LONG</t>
  </si>
  <si>
    <t>THANGLONGART@HN.VNN.VN</t>
  </si>
  <si>
    <t>T3-3AB2</t>
  </si>
  <si>
    <t>263010,00</t>
  </si>
  <si>
    <t>DO THI LAN ANH</t>
  </si>
  <si>
    <t>LANANH.DOTHI@LOSCAM.COM</t>
  </si>
  <si>
    <t>0909 573 467</t>
  </si>
  <si>
    <t>T3-3AB7</t>
  </si>
  <si>
    <t>NGUYEN THI THANH HANG</t>
  </si>
  <si>
    <t>NTTHANG.HO@VIETCOMBANK.COM.VN</t>
  </si>
  <si>
    <t>04 3766 2809</t>
  </si>
  <si>
    <t>T3-3AB8</t>
  </si>
  <si>
    <t>203183,83</t>
  </si>
  <si>
    <t>NGUYEN THI TUYET NHUNG</t>
  </si>
  <si>
    <t>TUYETNHUNGSAIGON@HOTMAIL.COM</t>
  </si>
  <si>
    <t>0903 312 115</t>
  </si>
  <si>
    <t>T3-3B1</t>
  </si>
  <si>
    <t>268400,00</t>
  </si>
  <si>
    <t>ROBERT GERARD ZIELINSKI</t>
  </si>
  <si>
    <t>RGZIELINSKI@GMAIL.COM</t>
  </si>
  <si>
    <t>65-9828-5612</t>
  </si>
  <si>
    <t>T3-3B2</t>
  </si>
  <si>
    <t>259270,00</t>
  </si>
  <si>
    <t>T3-3B7</t>
  </si>
  <si>
    <t>258458,65</t>
  </si>
  <si>
    <t>DAO THI KIM THAO</t>
  </si>
  <si>
    <t>VOIMINI@YAHOO.COM, MALDIVES29@GMAIL.COM</t>
  </si>
  <si>
    <t>065 9474 3922</t>
  </si>
  <si>
    <t>0121 9757 770</t>
  </si>
  <si>
    <t>T3-3B8</t>
  </si>
  <si>
    <t>TRAN THI MAI</t>
  </si>
  <si>
    <t>T3-5A3</t>
  </si>
  <si>
    <t>198440,00</t>
  </si>
  <si>
    <t>LE HUYNH BUU NGHI</t>
  </si>
  <si>
    <t>NGHILE@BUDSICECREAM.COM.VN</t>
  </si>
  <si>
    <t>T3-5A4</t>
  </si>
  <si>
    <t>189860,00</t>
  </si>
  <si>
    <t>DO HUU HOANG</t>
  </si>
  <si>
    <t>DO.HUU.HOANG@SADACO-MITSUBISHI.COM.VN</t>
  </si>
  <si>
    <t>0907.652.868</t>
  </si>
  <si>
    <t>T3-5A5</t>
  </si>
  <si>
    <t>TRAN DAM MINH PHUONG</t>
  </si>
  <si>
    <t>DILLY_TRAN@YAHOO.COM</t>
  </si>
  <si>
    <t>T3-5A6</t>
  </si>
  <si>
    <t>147378,00</t>
  </si>
  <si>
    <t>NGUYEN THI VUONG</t>
  </si>
  <si>
    <t>HUUDUNG_HO@YAHOO.COM</t>
  </si>
  <si>
    <t>0903 842 866</t>
  </si>
  <si>
    <t>T3-5B1</t>
  </si>
  <si>
    <t>T3-5B2</t>
  </si>
  <si>
    <t>266860,00</t>
  </si>
  <si>
    <t>DANG THI HUYEN LINH</t>
  </si>
  <si>
    <t>NGUYENVANTHULT@YAHOO.COM</t>
  </si>
  <si>
    <t>T3-5B7</t>
  </si>
  <si>
    <t>276650,00</t>
  </si>
  <si>
    <t>NGUYEN TRUC LINH</t>
  </si>
  <si>
    <t>WENDYTRUCLINH@HOTMAIL.COM</t>
  </si>
  <si>
    <t>08.5402 7737</t>
  </si>
  <si>
    <t>T3-5B8</t>
  </si>
  <si>
    <t>272012,00</t>
  </si>
  <si>
    <t>UNITED SCIENTIFIC COMPANY LIMITED</t>
  </si>
  <si>
    <t>LY@USCIVN.COM</t>
  </si>
  <si>
    <t>2244 6300</t>
  </si>
  <si>
    <t>T3-6A3</t>
  </si>
  <si>
    <t>167475,00</t>
  </si>
  <si>
    <t>TRAN THI MINH TAM</t>
  </si>
  <si>
    <t>TRANTINTIN@HOTMAIL.COM</t>
  </si>
  <si>
    <t>012 6611 1888</t>
  </si>
  <si>
    <t>T3-6A4</t>
  </si>
  <si>
    <t>VU THACH HOA</t>
  </si>
  <si>
    <t>VINA3458888@YAHOO.COM</t>
  </si>
  <si>
    <t>0913 458 888</t>
  </si>
  <si>
    <t>PHAM THI HUYEN TRANG-KIM DIEN</t>
  </si>
  <si>
    <t>T3-6A5</t>
  </si>
  <si>
    <t>166608,63</t>
  </si>
  <si>
    <t>CTY TNHH SAI GON GIA DINH</t>
  </si>
  <si>
    <t>SGGDTRAVEL@GMAIL.COM</t>
  </si>
  <si>
    <t>3511 3074-3511 1188</t>
  </si>
  <si>
    <t>0918 416 311</t>
  </si>
  <si>
    <t>T3-6A6</t>
  </si>
  <si>
    <t>NGUYEN NGOC THANH</t>
  </si>
  <si>
    <t>NGOCTHANHNGUYEN2003@YAHOO.COM</t>
  </si>
  <si>
    <t>0913 932 384</t>
  </si>
  <si>
    <t>T3-6B1</t>
  </si>
  <si>
    <t>280610,00</t>
  </si>
  <si>
    <t>TAN GIN MONG</t>
  </si>
  <si>
    <t>GMTAN@HTEVN.COM</t>
  </si>
  <si>
    <t>T3-6B2</t>
  </si>
  <si>
    <t>270820,00</t>
  </si>
  <si>
    <t>KIEU THI VAN ANH</t>
  </si>
  <si>
    <t>3.840.4565</t>
  </si>
  <si>
    <t>T3-6B7</t>
  </si>
  <si>
    <t>NGUYEN THI THANH XUAN</t>
  </si>
  <si>
    <t>MARY.XUAN@KINDERWORLDGROUP.COM</t>
  </si>
  <si>
    <t>0913 923 338</t>
  </si>
  <si>
    <t>T3-6B8</t>
  </si>
  <si>
    <t>DANG THI THU</t>
  </si>
  <si>
    <t>THUYDUNGDHCN@GMAIL.COM</t>
  </si>
  <si>
    <t>0949 048 181</t>
  </si>
  <si>
    <t>T3-7A3</t>
  </si>
  <si>
    <t>204930,00</t>
  </si>
  <si>
    <t>PHAM THI BICH THUY</t>
  </si>
  <si>
    <t>THUY1004@YAHOO.COM</t>
  </si>
  <si>
    <t>T3-7A4</t>
  </si>
  <si>
    <t>197120,00</t>
  </si>
  <si>
    <t>NGUYEN THI THU HONG</t>
  </si>
  <si>
    <t>0908 891 089</t>
  </si>
  <si>
    <t>T3-7A5</t>
  </si>
  <si>
    <t>NGUYEN THI MINH HOI</t>
  </si>
  <si>
    <t>T3-7A6</t>
  </si>
  <si>
    <t>HUYNH MINH HAI</t>
  </si>
  <si>
    <t>TRANGNH163@GMAIL.COM</t>
  </si>
  <si>
    <t>0912 179 013</t>
  </si>
  <si>
    <t>T3-7B1</t>
  </si>
  <si>
    <t>287320,00</t>
  </si>
  <si>
    <t>CHEN YEAN REN</t>
  </si>
  <si>
    <t>ERICCHEN0227@GMAIL.COM</t>
  </si>
  <si>
    <t>T3-7B2</t>
  </si>
  <si>
    <t>287310,00</t>
  </si>
  <si>
    <t>NGUYEN BA NHI ANH</t>
  </si>
  <si>
    <t>NHIANHNB@GMAIL.COM</t>
  </si>
  <si>
    <t>0903 774 773</t>
  </si>
  <si>
    <t>T3-7B7</t>
  </si>
  <si>
    <t>283580,00</t>
  </si>
  <si>
    <t>DANG KIM AN</t>
  </si>
  <si>
    <t>THUVUHOAI@YAHOO.COM</t>
  </si>
  <si>
    <t>38.117.609</t>
  </si>
  <si>
    <t>T3-7B8</t>
  </si>
  <si>
    <t>KAO, FU-KUEI</t>
  </si>
  <si>
    <t>GRACE9406@HOTMAIL.COM</t>
  </si>
  <si>
    <t>0938 026 788</t>
  </si>
  <si>
    <t>T3-8A3</t>
  </si>
  <si>
    <t>PHAN THI ANH TUYET</t>
  </si>
  <si>
    <t>9.524.000/9.524.067</t>
  </si>
  <si>
    <t>T3-8A4</t>
  </si>
  <si>
    <t>200090,00</t>
  </si>
  <si>
    <t>PHAM THI CAM NHUNG</t>
  </si>
  <si>
    <t>CAMNHUNG8@GMAIL.COM</t>
  </si>
  <si>
    <t>043.7956.9139</t>
  </si>
  <si>
    <t>T3-8A5</t>
  </si>
  <si>
    <t>T3-8A6</t>
  </si>
  <si>
    <t>NGUYEN THI TUYET MAI</t>
  </si>
  <si>
    <t>0983 071 173</t>
  </si>
  <si>
    <t>T3-8B1</t>
  </si>
  <si>
    <t>291390,00</t>
  </si>
  <si>
    <t>THAI NHI DUC</t>
  </si>
  <si>
    <t>ALLEN.THAI@PRUDENTIAL.COM.VN</t>
  </si>
  <si>
    <t>T3-8B2</t>
  </si>
  <si>
    <t>205782,31</t>
  </si>
  <si>
    <t>PHUNG THU HUYEN</t>
  </si>
  <si>
    <t>FUNGFUNG64@YAHOO.COM</t>
  </si>
  <si>
    <t>0943 732 666</t>
  </si>
  <si>
    <t>T3-8B7</t>
  </si>
  <si>
    <t>NGUYEN ANH TUAN</t>
  </si>
  <si>
    <t>ANHTUAN.PHUHA@YAHOO.COM.VN</t>
  </si>
  <si>
    <t>0913 208 828</t>
  </si>
  <si>
    <t>T3-8B8</t>
  </si>
  <si>
    <t>LE THUY HANG</t>
  </si>
  <si>
    <t>LETHUYHANGTL@YAHOO.COM</t>
  </si>
  <si>
    <t>0918 071 927</t>
  </si>
  <si>
    <t>T3-9A3</t>
  </si>
  <si>
    <t>THAN VU QUANG CHINH</t>
  </si>
  <si>
    <t>CHINHTHAN@GMAIL.COM</t>
  </si>
  <si>
    <t>T3-9A4</t>
  </si>
  <si>
    <t>202840,00</t>
  </si>
  <si>
    <t>COLIN TAN HOCK HEE</t>
  </si>
  <si>
    <t>CTANHH@HOTMAIL.COM</t>
  </si>
  <si>
    <t>T3-9A5</t>
  </si>
  <si>
    <t>208340,00</t>
  </si>
  <si>
    <t>NGUYEN THI HONG HAI</t>
  </si>
  <si>
    <t>HAI.NTH@PVGAS.COM.VN</t>
  </si>
  <si>
    <t>T3-9A6</t>
  </si>
  <si>
    <t>NGUYEN THI LAN ANH</t>
  </si>
  <si>
    <t>LANANHNT24@YAHOO.COM</t>
  </si>
  <si>
    <t>0936 366 396</t>
  </si>
  <si>
    <t>T3-9B1</t>
  </si>
  <si>
    <t>295460,00</t>
  </si>
  <si>
    <t>TA XUAN LAI</t>
  </si>
  <si>
    <t>TAXUANLAI@GMAIL.COM</t>
  </si>
  <si>
    <t>(33) 661.878.651</t>
  </si>
  <si>
    <t>T3-9B2</t>
  </si>
  <si>
    <t>285120,00</t>
  </si>
  <si>
    <t>LE THI CAM NHUNG</t>
  </si>
  <si>
    <t>MINHNGUYEN2412@YAHOO.COM</t>
  </si>
  <si>
    <t>T3-9B7</t>
  </si>
  <si>
    <t>291940,00</t>
  </si>
  <si>
    <t>DO HONG VAN</t>
  </si>
  <si>
    <t>VANDO46@YAHOO.COM</t>
  </si>
  <si>
    <t>T3-9B8</t>
  </si>
  <si>
    <t>MAN THI HANG</t>
  </si>
  <si>
    <t>FELICIASEE0507@YAHOO.COM</t>
  </si>
  <si>
    <t>012 0387 7492</t>
  </si>
  <si>
    <t>NGUYEN CANH TUNG-NO COMM</t>
  </si>
  <si>
    <t>T3-GA3</t>
  </si>
  <si>
    <t>215006,67</t>
  </si>
  <si>
    <t>DOAN VUONG LINH</t>
  </si>
  <si>
    <t>DANGHUNGVUONGLINH@GMAIL.COM</t>
  </si>
  <si>
    <t>0903 614 362</t>
  </si>
  <si>
    <t>PHAM THI HUYEN TRANG-REPEATED PURCHASER</t>
  </si>
  <si>
    <t>T3-GA5</t>
  </si>
  <si>
    <t>301730,00</t>
  </si>
  <si>
    <t>T3-GB1</t>
  </si>
  <si>
    <t>254608,20</t>
  </si>
  <si>
    <t>VU HONG DUONG</t>
  </si>
  <si>
    <t>VHD.VIETHUNG@GMAIL.COM</t>
  </si>
  <si>
    <t>0972 833 360</t>
  </si>
  <si>
    <t>T3-GB7</t>
  </si>
  <si>
    <t>257639,25</t>
  </si>
  <si>
    <t>NGO MY LAN</t>
  </si>
  <si>
    <t>DAOHONGGIANG3000@GMAIL.COM</t>
  </si>
  <si>
    <t>0913 323 262</t>
  </si>
  <si>
    <t>T3-GC2</t>
  </si>
  <si>
    <t>434500,00</t>
  </si>
  <si>
    <t>T3-GC8</t>
  </si>
  <si>
    <t>382360,00</t>
  </si>
  <si>
    <t>NGUYEN THI HONG LY</t>
  </si>
  <si>
    <t>NGUYENHONGLY69@YAHOO.COM</t>
  </si>
  <si>
    <t>TOWER 4</t>
  </si>
  <si>
    <t>T4-10A3</t>
  </si>
  <si>
    <t>161573,50</t>
  </si>
  <si>
    <t>MA JIE</t>
  </si>
  <si>
    <t>EMMIEMA2001@YAHOO.COM</t>
  </si>
  <si>
    <t>86 135 0621 9279</t>
  </si>
  <si>
    <t>T4-10A4</t>
  </si>
  <si>
    <t>165265,40</t>
  </si>
  <si>
    <t>TO NGUYEN XUAN LINH</t>
  </si>
  <si>
    <t>TONGUYENL@YAHOO.COM</t>
  </si>
  <si>
    <t>0932 608 228</t>
  </si>
  <si>
    <t>T4-10B1</t>
  </si>
  <si>
    <t>215960,84</t>
  </si>
  <si>
    <t>THAI KIM PHUC</t>
  </si>
  <si>
    <t>THAICHOI88@GMAIL.COM</t>
  </si>
  <si>
    <t>0949 808 088</t>
  </si>
  <si>
    <t>T4-10B2</t>
  </si>
  <si>
    <t>187538,92</t>
  </si>
  <si>
    <t>CAO THI NGOC DUNG</t>
  </si>
  <si>
    <t>CTNGOCDUNG@GMAIL.COM</t>
  </si>
  <si>
    <t>0907 120 506</t>
  </si>
  <si>
    <t>T4-10B5</t>
  </si>
  <si>
    <t>215291,26</t>
  </si>
  <si>
    <t>T4-10B6</t>
  </si>
  <si>
    <t>237436,32</t>
  </si>
  <si>
    <t>NGO DUC ANH</t>
  </si>
  <si>
    <t>NDANH2K2@YAHOO.COM</t>
  </si>
  <si>
    <t>0903 960134</t>
  </si>
  <si>
    <t>VU NGOC THUY TIEN</t>
  </si>
  <si>
    <t>T4-11A3</t>
  </si>
  <si>
    <t>185040,66</t>
  </si>
  <si>
    <t>NGO THANH BINH</t>
  </si>
  <si>
    <t>MRHUY1207@GMAIL.COM</t>
  </si>
  <si>
    <t>0903 812 685</t>
  </si>
  <si>
    <t>NGUYEN CANH TUNG-EVERLAND AGENT</t>
  </si>
  <si>
    <t>T4-11A4</t>
  </si>
  <si>
    <t>150430,50</t>
  </si>
  <si>
    <t>TRUONG HOANG THAO</t>
  </si>
  <si>
    <t>TRUONGHOANGTHAO@HOTMAIL.COM</t>
  </si>
  <si>
    <t>0908 581 822</t>
  </si>
  <si>
    <t>PHAM THI HUYEN TRANG-THE GIOI BDS AGENT</t>
  </si>
  <si>
    <t>T4-11B1</t>
  </si>
  <si>
    <t>235122,29</t>
  </si>
  <si>
    <t>DAO THI HUONG GIANG</t>
  </si>
  <si>
    <t>HGGIANGDAO@YAHOO.COM</t>
  </si>
  <si>
    <t>0903 323 632</t>
  </si>
  <si>
    <t>T4-11B2</t>
  </si>
  <si>
    <t>VO HONG KHANH</t>
  </si>
  <si>
    <t>0913 925 808</t>
  </si>
  <si>
    <t>T4-11B5</t>
  </si>
  <si>
    <t>223860,07</t>
  </si>
  <si>
    <t>PHAN KE HOANG</t>
  </si>
  <si>
    <t>CHRISBAEKER@GMAIL.COM</t>
  </si>
  <si>
    <t>0936 271 702</t>
  </si>
  <si>
    <t>T4-11B6</t>
  </si>
  <si>
    <t>209348,40</t>
  </si>
  <si>
    <t>NGUYEN VAN MINH</t>
  </si>
  <si>
    <t>MINHBASON@GMAIL.COM</t>
  </si>
  <si>
    <t>0933 565 666</t>
  </si>
  <si>
    <t>T4-12A3</t>
  </si>
  <si>
    <t>192757,72</t>
  </si>
  <si>
    <t>NGUYEN NGOC TINH</t>
  </si>
  <si>
    <t>TINH.NGUYENPIRO@GMAIL.COM</t>
  </si>
  <si>
    <t>0913 525 377</t>
  </si>
  <si>
    <t>PHAM THI HUYEN TRANG-SOTHEBY AGENT</t>
  </si>
  <si>
    <t>T4-12A4</t>
  </si>
  <si>
    <t>NGUYEN NGOC TUAN</t>
  </si>
  <si>
    <t>CIAOTUAN@GMAIL.COM</t>
  </si>
  <si>
    <t>0904 43 44 22</t>
  </si>
  <si>
    <t>T4-12AA3</t>
  </si>
  <si>
    <t>184554,73</t>
  </si>
  <si>
    <t>TAN SIOH HWEE</t>
  </si>
  <si>
    <t>SIOHHWEE@YAHOO.COM</t>
  </si>
  <si>
    <t>65 9670 6727</t>
  </si>
  <si>
    <t>T4-12AA4</t>
  </si>
  <si>
    <t>LE THI Y NHI</t>
  </si>
  <si>
    <t>LETHIYNH2010@GMAIL.COM</t>
  </si>
  <si>
    <t>0908 202 151</t>
  </si>
  <si>
    <t>TRUONG KIM PHA-SEAREAL AGENT</t>
  </si>
  <si>
    <t>T4-12AB1</t>
  </si>
  <si>
    <t>255567,72</t>
  </si>
  <si>
    <t>TRAN THANH VIET</t>
  </si>
  <si>
    <t>VIETTRAN1@YAHOO.COM</t>
  </si>
  <si>
    <t>0968 036 588</t>
  </si>
  <si>
    <t>T4-12AB2</t>
  </si>
  <si>
    <t>204558,75</t>
  </si>
  <si>
    <t>TRAN HONG HAI</t>
  </si>
  <si>
    <t>TRANHONGHAIVD@YAHOO.COM</t>
  </si>
  <si>
    <t>0902 401 778</t>
  </si>
  <si>
    <t>T4-12AB5</t>
  </si>
  <si>
    <t>235877,40</t>
  </si>
  <si>
    <t>NGUYEN CHI HIEU</t>
  </si>
  <si>
    <t>CH_NGUY@HOTMAIL.COM</t>
  </si>
  <si>
    <t>0938 565 021</t>
  </si>
  <si>
    <t>T4-12AB6</t>
  </si>
  <si>
    <t>202737,40</t>
  </si>
  <si>
    <t>LAM KIEU LANG</t>
  </si>
  <si>
    <t>0909 940 231</t>
  </si>
  <si>
    <t>416-565-9112</t>
  </si>
  <si>
    <t>T4-12B1</t>
  </si>
  <si>
    <t>239378,87</t>
  </si>
  <si>
    <t>NGUYEN PHUONG THUY</t>
  </si>
  <si>
    <t>NPTHUY82@YAHOO.COM</t>
  </si>
  <si>
    <t>0943 838 282</t>
  </si>
  <si>
    <t>T4-12B2</t>
  </si>
  <si>
    <t>190756,73</t>
  </si>
  <si>
    <t>KHUAT ANH NGOC</t>
  </si>
  <si>
    <t>NGOC.KHUATANH@GMAIL.COM</t>
  </si>
  <si>
    <t>0927 398 989</t>
  </si>
  <si>
    <t>T4-12B5</t>
  </si>
  <si>
    <t>222508,44</t>
  </si>
  <si>
    <t>NGUYEN THI QUYNH NGA</t>
  </si>
  <si>
    <t>QUYNHNGA7305@YAHOO.COM</t>
  </si>
  <si>
    <t>0903 393 633</t>
  </si>
  <si>
    <t>T4-12B6</t>
  </si>
  <si>
    <t>213446,64</t>
  </si>
  <si>
    <t>NGUYEN THI THUC VY</t>
  </si>
  <si>
    <t>THUCVY@HOAHONGVANG.COM</t>
  </si>
  <si>
    <t>0932 797 881</t>
  </si>
  <si>
    <t>0908 761 510</t>
  </si>
  <si>
    <t>T4-12BA3</t>
  </si>
  <si>
    <t>172716,50</t>
  </si>
  <si>
    <t>NGUYEN THI HONG THI</t>
  </si>
  <si>
    <t>JOLIENGUYEN34@YAHOO.COM</t>
  </si>
  <si>
    <t>SEAREAL- PHAM THI HUYEN TRANG</t>
  </si>
  <si>
    <t>T4-12BA4</t>
  </si>
  <si>
    <t>147421,89</t>
  </si>
  <si>
    <t>6281 4500</t>
  </si>
  <si>
    <t>T4-12BB1</t>
  </si>
  <si>
    <t>VU HOANG PHUONG</t>
  </si>
  <si>
    <t>TONYVU02@YAHOO.COM</t>
  </si>
  <si>
    <t>0902 520 924</t>
  </si>
  <si>
    <t>T4-12BB2</t>
  </si>
  <si>
    <t>BUI NGUYEN HUYEN TRANG</t>
  </si>
  <si>
    <t>HUYENTRANGBN@GMAIL.COM</t>
  </si>
  <si>
    <t>0909 459 694</t>
  </si>
  <si>
    <t>T4-12BB5</t>
  </si>
  <si>
    <t>235259,64</t>
  </si>
  <si>
    <t>NGO QUANG HIEP</t>
  </si>
  <si>
    <t>HIEP.NGO@INVESTCONSULTGROUP.NET</t>
  </si>
  <si>
    <t>0903 826 957</t>
  </si>
  <si>
    <t>T4-12BB6</t>
  </si>
  <si>
    <t>222981,00</t>
  </si>
  <si>
    <t>NGUYEN HOANG OANH</t>
  </si>
  <si>
    <t>ASIANEVA@YAHOO.COM</t>
  </si>
  <si>
    <t>0907 404 037</t>
  </si>
  <si>
    <t>T4-15A3</t>
  </si>
  <si>
    <t>191362,46</t>
  </si>
  <si>
    <t>VO THI KIM LANG</t>
  </si>
  <si>
    <t>KIMLANGVO@YAHOO.COM</t>
  </si>
  <si>
    <t>0918 119 596</t>
  </si>
  <si>
    <t>T4-15A4</t>
  </si>
  <si>
    <t>DOAN THI MINH NGUYET</t>
  </si>
  <si>
    <t>DOANNGUYET03@GMAIL.COM</t>
  </si>
  <si>
    <t>0988 345 709</t>
  </si>
  <si>
    <t>T4-15B1</t>
  </si>
  <si>
    <t>247348,12</t>
  </si>
  <si>
    <t>T4-15B2</t>
  </si>
  <si>
    <t>195776,46</t>
  </si>
  <si>
    <t>PHAN THI BINH NGUYEN</t>
  </si>
  <si>
    <t>BINHNGUYENNTU@YAHOO.COM</t>
  </si>
  <si>
    <t>0982 645 111</t>
  </si>
  <si>
    <t>T4-15B5</t>
  </si>
  <si>
    <t>231434,28</t>
  </si>
  <si>
    <t>NGUYEN HUU CHIEN</t>
  </si>
  <si>
    <t>T4-15B6</t>
  </si>
  <si>
    <t>BUI LE CUONG</t>
  </si>
  <si>
    <t>DVC@DAVICONTROL.COM.VN</t>
  </si>
  <si>
    <t>0903 717 724</t>
  </si>
  <si>
    <t>T4-16A3</t>
  </si>
  <si>
    <t>172538,21</t>
  </si>
  <si>
    <t>T4-16A4</t>
  </si>
  <si>
    <t>NGUYEN THANH TU</t>
  </si>
  <si>
    <t>0903 819 071</t>
  </si>
  <si>
    <t>T4-16B1</t>
  </si>
  <si>
    <t>244554,13</t>
  </si>
  <si>
    <t>LIONG CHUNG YEE</t>
  </si>
  <si>
    <t>SIMON@MACTRON.COM.SG</t>
  </si>
  <si>
    <t>65 6292 0539</t>
  </si>
  <si>
    <t>65 9338 9100</t>
  </si>
  <si>
    <t>T4-16B2</t>
  </si>
  <si>
    <t>PHAN THI HOAI AN</t>
  </si>
  <si>
    <t>PHANTHIHOAIANHANOI@GMAIL.COM</t>
  </si>
  <si>
    <t>49152 1194 5959</t>
  </si>
  <si>
    <t>T4-16B5</t>
  </si>
  <si>
    <t>243858,22</t>
  </si>
  <si>
    <t>NGHIEM MINH HIEN</t>
  </si>
  <si>
    <t>MINHTIEN@VIETFRACHT-HCM.COM</t>
  </si>
  <si>
    <t>0903 809 454</t>
  </si>
  <si>
    <t>0918 769 990</t>
  </si>
  <si>
    <t>T4-16B6</t>
  </si>
  <si>
    <t>205142,52</t>
  </si>
  <si>
    <t>TRUONG THI KIM NGAN</t>
  </si>
  <si>
    <t>CHANFONG-JUNG@VNN.VN</t>
  </si>
  <si>
    <t>0906 888 581</t>
  </si>
  <si>
    <t>T4-17A3</t>
  </si>
  <si>
    <t>187171,20</t>
  </si>
  <si>
    <t>SIM ENG LYE</t>
  </si>
  <si>
    <t>GARY_SIM@SINGNET.COM.SG</t>
  </si>
  <si>
    <t>T4-17A4</t>
  </si>
  <si>
    <t>147644,75</t>
  </si>
  <si>
    <t>NGUYEN XUAN LAM</t>
  </si>
  <si>
    <t>LVPLAS@HCM.VNN.VN</t>
  </si>
  <si>
    <t>0913 118 261</t>
  </si>
  <si>
    <t>T4-17B1</t>
  </si>
  <si>
    <t>239743,02</t>
  </si>
  <si>
    <t>NGUYEN THI BICH NGOC</t>
  </si>
  <si>
    <t>NGOCHOANGTHANH2004@YAHOO.COM</t>
  </si>
  <si>
    <t>0913 201 726</t>
  </si>
  <si>
    <t>T4-17B2</t>
  </si>
  <si>
    <t>LE TRUNG KIEN</t>
  </si>
  <si>
    <t>KYNE.LE@ICLOUD.COM</t>
  </si>
  <si>
    <t>0932 868 999</t>
  </si>
  <si>
    <t>T4-17B5</t>
  </si>
  <si>
    <t>236157,43</t>
  </si>
  <si>
    <t>LIN SHU LI</t>
  </si>
  <si>
    <t>LILY@CHIENTABOLT.COM</t>
  </si>
  <si>
    <t>0918 684 633</t>
  </si>
  <si>
    <t>T4-17B6</t>
  </si>
  <si>
    <t>214320,05</t>
  </si>
  <si>
    <t>LY MY NGOC</t>
  </si>
  <si>
    <t>LYMYNGOCVN@YAHOO.COM</t>
  </si>
  <si>
    <t>0919 108 955</t>
  </si>
  <si>
    <t>T4-18A3</t>
  </si>
  <si>
    <t>176059,40</t>
  </si>
  <si>
    <t>NGUYEN THI ANH TUYET</t>
  </si>
  <si>
    <t>SUSAN_NGUYEN2003183@HOTMAIL.COM</t>
  </si>
  <si>
    <t>T4-18A4</t>
  </si>
  <si>
    <t>159004,51</t>
  </si>
  <si>
    <t>NGUYEN ANH DUNG</t>
  </si>
  <si>
    <t>LONGHUONGTRAN.VN@GMAIL.COM</t>
  </si>
  <si>
    <t>0987 161 976</t>
  </si>
  <si>
    <t>0986 161 976</t>
  </si>
  <si>
    <t>T4-18B1</t>
  </si>
  <si>
    <t>235308,35</t>
  </si>
  <si>
    <t>DOAN THI THU HIEN</t>
  </si>
  <si>
    <t>THUHIEN@CITYZOO.VN</t>
  </si>
  <si>
    <t>3512 5793</t>
  </si>
  <si>
    <t>0909 156 789</t>
  </si>
  <si>
    <t>T4-18B2</t>
  </si>
  <si>
    <t>194137,02</t>
  </si>
  <si>
    <t>HOANG KHANH LINH</t>
  </si>
  <si>
    <t>KHANHLINHVTV@GMAIL.COM</t>
  </si>
  <si>
    <t>0904 887 888</t>
  </si>
  <si>
    <t>T4-18B5</t>
  </si>
  <si>
    <t>SUZUKI SEIJI</t>
  </si>
  <si>
    <t>BM683@NIFTY.COM</t>
  </si>
  <si>
    <t>852 9038 3138</t>
  </si>
  <si>
    <t>T4-18B6</t>
  </si>
  <si>
    <t>201039,67</t>
  </si>
  <si>
    <t>LE TAN DINH</t>
  </si>
  <si>
    <t>DINHLT1968@GMAIL.COM</t>
  </si>
  <si>
    <t>0937 372 888</t>
  </si>
  <si>
    <t>T4-19A3</t>
  </si>
  <si>
    <t>187870,09</t>
  </si>
  <si>
    <t>JESSIE TAN SEOH HONG</t>
  </si>
  <si>
    <t>JESSEOH@SINGNET.COM.SG</t>
  </si>
  <si>
    <t>PHAM THI HUYEN TRANG-DISC 2% SELL.PRICE</t>
  </si>
  <si>
    <t>T4-19A4</t>
  </si>
  <si>
    <t>TAN TIAN HIAN (TAN LING)</t>
  </si>
  <si>
    <t>OCEANPLACE72@GMAIL.COM</t>
  </si>
  <si>
    <t>0909 064 140</t>
  </si>
  <si>
    <t>NGUYEN SON TUNG-REFERRAL FEE</t>
  </si>
  <si>
    <t>T4-19B1</t>
  </si>
  <si>
    <t>252679,00</t>
  </si>
  <si>
    <t>VU HAI TUNG</t>
  </si>
  <si>
    <t>TUNGVUH@GMAIL.COM</t>
  </si>
  <si>
    <t>0987 954 752</t>
  </si>
  <si>
    <t>T4-19B2</t>
  </si>
  <si>
    <t>NGUYEN THI MAI HOA</t>
  </si>
  <si>
    <t>HOA.NGUYEN.MAI08@GMAIL.COM</t>
  </si>
  <si>
    <t>0904 344 335</t>
  </si>
  <si>
    <t>T4-19B5</t>
  </si>
  <si>
    <t>235669,50</t>
  </si>
  <si>
    <t>HO LU VIET</t>
  </si>
  <si>
    <t>2012CDT@GMAIL.COM</t>
  </si>
  <si>
    <t>0909 625 997</t>
  </si>
  <si>
    <t>T4-19B6</t>
  </si>
  <si>
    <t>202392,61</t>
  </si>
  <si>
    <t>PHAM NGOC THANH</t>
  </si>
  <si>
    <t>PNTHANH81@YAHOO.CO.UK</t>
  </si>
  <si>
    <t>0907 291 118</t>
  </si>
  <si>
    <t>T4-1A3</t>
  </si>
  <si>
    <t>154147,53</t>
  </si>
  <si>
    <t>VU DUC MINH</t>
  </si>
  <si>
    <t>VDUCMINH_A5@YAHOO.COM.SG</t>
  </si>
  <si>
    <t>0906 990 582</t>
  </si>
  <si>
    <t>NGUYEN CANH TUNG-BULK PURCHASER</t>
  </si>
  <si>
    <t>T4-1A4</t>
  </si>
  <si>
    <t>185550,75</t>
  </si>
  <si>
    <t>PHUONG TIEN MINH</t>
  </si>
  <si>
    <t>PHUONGMINH@HSBC.COM.VN</t>
  </si>
  <si>
    <t>0937 544 599</t>
  </si>
  <si>
    <t>T4-1B2</t>
  </si>
  <si>
    <t>254755,38</t>
  </si>
  <si>
    <t>VU THI HOANG YEN</t>
  </si>
  <si>
    <t>HOANGYEN@TMI.COM.VN</t>
  </si>
  <si>
    <t>0903 877 076</t>
  </si>
  <si>
    <t>NGUYEN THI HAI VAN-DISC 2% SELL.PRICE</t>
  </si>
  <si>
    <t>T4-1B5</t>
  </si>
  <si>
    <t>213732,40</t>
  </si>
  <si>
    <t>PHAM THI THUY TRANG</t>
  </si>
  <si>
    <t>T4-1B6</t>
  </si>
  <si>
    <t>263086,12</t>
  </si>
  <si>
    <t>TAN LOO LEE</t>
  </si>
  <si>
    <t>TANLOOLEE@TMI.COM.VN</t>
  </si>
  <si>
    <t>0903 003 249</t>
  </si>
  <si>
    <t>T4-20A3</t>
  </si>
  <si>
    <t>186784,10</t>
  </si>
  <si>
    <t>T4-20A4</t>
  </si>
  <si>
    <t>153439,11</t>
  </si>
  <si>
    <t>DOAN THI THIEN PHUC</t>
  </si>
  <si>
    <t>DOANTHITHIENTHAO@YAHOO.COM.VN</t>
  </si>
  <si>
    <t>0906 834 787</t>
  </si>
  <si>
    <t>T4-20B1</t>
  </si>
  <si>
    <t>240045,98</t>
  </si>
  <si>
    <t>NGUYEN HOAI SON</t>
  </si>
  <si>
    <t>HAILONGTRANS@YAHOO.COM.VN</t>
  </si>
  <si>
    <t>0917 330 550</t>
  </si>
  <si>
    <t>T4-20B2</t>
  </si>
  <si>
    <t>TRAN QUANG TRINH</t>
  </si>
  <si>
    <t>TRINH1969@GMAIL.COM</t>
  </si>
  <si>
    <t>0919 798 911</t>
  </si>
  <si>
    <t>T4-20B5</t>
  </si>
  <si>
    <t>DUY NGOC ANH</t>
  </si>
  <si>
    <t>DUYNGOCANH@GMAIL.COM</t>
  </si>
  <si>
    <t>0903 936 969</t>
  </si>
  <si>
    <t>T4-20B6</t>
  </si>
  <si>
    <t>QUACH MY LINH</t>
  </si>
  <si>
    <t>LINDAQUACH2006@YAHOO.COM</t>
  </si>
  <si>
    <t>0919 005 678</t>
  </si>
  <si>
    <t>T4-21A3</t>
  </si>
  <si>
    <t>179402,30</t>
  </si>
  <si>
    <t>LE MY HANH</t>
  </si>
  <si>
    <t>MYHANH.LE@KANSAI-CHEM.COM</t>
  </si>
  <si>
    <t>0982 885 111</t>
  </si>
  <si>
    <t>T4-21A4</t>
  </si>
  <si>
    <t>PHAM VU KIEU OANH</t>
  </si>
  <si>
    <t>AMY@NEXUS-VN.COM</t>
  </si>
  <si>
    <t>0937 810 015</t>
  </si>
  <si>
    <t>T4-21B1</t>
  </si>
  <si>
    <t>244048,86</t>
  </si>
  <si>
    <t>PHAM THI HONG THAM</t>
  </si>
  <si>
    <t>VAN@CHAMVILLAS.COM</t>
  </si>
  <si>
    <t>0908 737 737</t>
  </si>
  <si>
    <t>T4-21B2</t>
  </si>
  <si>
    <t>215325,00</t>
  </si>
  <si>
    <t>KITTY.HONG.BODYNITS@GMAIL.COM</t>
  </si>
  <si>
    <t>0973 600 606</t>
  </si>
  <si>
    <t>T4-21B5</t>
  </si>
  <si>
    <t>231804,07</t>
  </si>
  <si>
    <t>PAUL HENG WENG SENG</t>
  </si>
  <si>
    <t>PWHENG@GMAIL.COM</t>
  </si>
  <si>
    <t>6012 375 1628</t>
  </si>
  <si>
    <t>T4-21B6</t>
  </si>
  <si>
    <t>NGUYEN THI HOAI HUONG</t>
  </si>
  <si>
    <t>LOTUS.H2O@GMAIL.COM</t>
  </si>
  <si>
    <t>0163 6437 878</t>
  </si>
  <si>
    <t>T4-22A3</t>
  </si>
  <si>
    <t>190447,25</t>
  </si>
  <si>
    <t>HO WEE SIANG</t>
  </si>
  <si>
    <t>KENNETH@NICAES.COM.SG</t>
  </si>
  <si>
    <t>T4-22A4</t>
  </si>
  <si>
    <t>LE XUAN THAO</t>
  </si>
  <si>
    <t>BINHLE.T@GMAIL.COM</t>
  </si>
  <si>
    <t>012 8988 8168</t>
  </si>
  <si>
    <t>T4-22B1</t>
  </si>
  <si>
    <t>234496,04</t>
  </si>
  <si>
    <t>YAP TIAN WEE</t>
  </si>
  <si>
    <t>DANYAPTW@GMAIL.COM</t>
  </si>
  <si>
    <t>012 7777 7796</t>
  </si>
  <si>
    <t>T4-22B2</t>
  </si>
  <si>
    <t>196911,00</t>
  </si>
  <si>
    <t>CHU ANH DUNG</t>
  </si>
  <si>
    <t>DUNG.CHU@QA-THINK.COM</t>
  </si>
  <si>
    <t>0904 059 797</t>
  </si>
  <si>
    <t>T4-22B5</t>
  </si>
  <si>
    <t>251960,94</t>
  </si>
  <si>
    <t>TRUONG NGOC ANH</t>
  </si>
  <si>
    <t>TRUONGNGOCANH1@YAHOO.COM</t>
  </si>
  <si>
    <t>0903 999 997</t>
  </si>
  <si>
    <t>T4-22B6</t>
  </si>
  <si>
    <t>LE NGUYEN THE PHUONG</t>
  </si>
  <si>
    <t>VNLEPHUONG@YAHOO.COM</t>
  </si>
  <si>
    <t>0903 006 736</t>
  </si>
  <si>
    <t>T4-2A3</t>
  </si>
  <si>
    <t>157293,40</t>
  </si>
  <si>
    <t>HOANG THI THUY</t>
  </si>
  <si>
    <t>HOANGTHUY_75@YAHOO.COM</t>
  </si>
  <si>
    <t>0945 836 977</t>
  </si>
  <si>
    <t>T4-2A4</t>
  </si>
  <si>
    <t>179071,20</t>
  </si>
  <si>
    <t>PHAM THI PHUONG</t>
  </si>
  <si>
    <t>ANHVU74@GMAIL.COM</t>
  </si>
  <si>
    <t>0903 036 635</t>
  </si>
  <si>
    <t>T4-2B1</t>
  </si>
  <si>
    <t>229336,12</t>
  </si>
  <si>
    <t>0903 704 466</t>
  </si>
  <si>
    <t>01266 111 888</t>
  </si>
  <si>
    <t>T4-2B2</t>
  </si>
  <si>
    <t>262337,38</t>
  </si>
  <si>
    <t>T4-2B5</t>
  </si>
  <si>
    <t>219799,33</t>
  </si>
  <si>
    <t>DUONG DO QUYEN</t>
  </si>
  <si>
    <t>DOQUYENDUONG@GMAIL.COM</t>
  </si>
  <si>
    <t>0908 154 052</t>
  </si>
  <si>
    <t>T4-2B6</t>
  </si>
  <si>
    <t>294474,03</t>
  </si>
  <si>
    <t>T4-3A3</t>
  </si>
  <si>
    <t>145773,32</t>
  </si>
  <si>
    <t>LE THI THU LINH</t>
  </si>
  <si>
    <t>LPLINHVN@YAHOO.COM</t>
  </si>
  <si>
    <t>0903 313 030</t>
  </si>
  <si>
    <t>T4-3A4</t>
  </si>
  <si>
    <t>170590,06</t>
  </si>
  <si>
    <t>DOAN HOANG AN</t>
  </si>
  <si>
    <t>AN.DOAN-HOANG@SC.COM</t>
  </si>
  <si>
    <t>0983 896 260</t>
  </si>
  <si>
    <t>T4-3AA3</t>
  </si>
  <si>
    <t>179641,87</t>
  </si>
  <si>
    <t>VU THI LUONG</t>
  </si>
  <si>
    <t>TROTHINHSTELLA@GMAI.COM</t>
  </si>
  <si>
    <t>0934 472 679</t>
  </si>
  <si>
    <t>T4-3AA4</t>
  </si>
  <si>
    <t>160744,46</t>
  </si>
  <si>
    <t>NGUYEN THANH HA</t>
  </si>
  <si>
    <t>THANHHA319@YAHOO.COM</t>
  </si>
  <si>
    <t>0966 583 399</t>
  </si>
  <si>
    <t>T4-3AB1</t>
  </si>
  <si>
    <t>225299,94</t>
  </si>
  <si>
    <t>TRUONG THANH HAI</t>
  </si>
  <si>
    <t>JOETRUONG1980@YAHOO.COM</t>
  </si>
  <si>
    <t>0903 330 987</t>
  </si>
  <si>
    <t>T4-3AB2</t>
  </si>
  <si>
    <t>213684,61</t>
  </si>
  <si>
    <t>TRAN THI THANH NGUYET</t>
  </si>
  <si>
    <t>THANHNGUYET@TMI.COM.VN</t>
  </si>
  <si>
    <t>0903 186 191</t>
  </si>
  <si>
    <t>T4-3AB5</t>
  </si>
  <si>
    <t>214903,26</t>
  </si>
  <si>
    <t>DANG THI LIEU</t>
  </si>
  <si>
    <t>DANGNGOCANH.135@GMAIL.COM</t>
  </si>
  <si>
    <t>016 8757 5268</t>
  </si>
  <si>
    <t>0979 966 135</t>
  </si>
  <si>
    <t>T4-3AB6</t>
  </si>
  <si>
    <t>219136,50</t>
  </si>
  <si>
    <t>LE NGUYEN MINH QUANG</t>
  </si>
  <si>
    <t>LNMQUANG@GMAIL.COM</t>
  </si>
  <si>
    <t>0903 836 096</t>
  </si>
  <si>
    <t>NGUYEN THI HAI VAN-CBRE AGENT</t>
  </si>
  <si>
    <t>T4-3B1</t>
  </si>
  <si>
    <t>196116,80</t>
  </si>
  <si>
    <t>TONI.TT568@GMAIL.COM</t>
  </si>
  <si>
    <t>0985 825 555</t>
  </si>
  <si>
    <t>T4-3B2</t>
  </si>
  <si>
    <t>225155,70</t>
  </si>
  <si>
    <t>TRAN HONG LAM</t>
  </si>
  <si>
    <t>HONGLAM0508@YAHOO.COM</t>
  </si>
  <si>
    <t>0902 008 768</t>
  </si>
  <si>
    <t>NGUYEN THI HAI VAN-VINAPLACE AGENT</t>
  </si>
  <si>
    <t>T4-3B5</t>
  </si>
  <si>
    <t>211559,04</t>
  </si>
  <si>
    <t>NGUYEN LE TUONG VY</t>
  </si>
  <si>
    <t>VYNLT@YAHOO.COM</t>
  </si>
  <si>
    <t>0903 165 316</t>
  </si>
  <si>
    <t>T4-3B6</t>
  </si>
  <si>
    <t>233161,24</t>
  </si>
  <si>
    <t>NGUYEN PHU NONG</t>
  </si>
  <si>
    <t>CTYTHUANPHATCK@GMAIL.COM</t>
  </si>
  <si>
    <t>0903 713 545</t>
  </si>
  <si>
    <t>NGUYEN CANH TUNG-SEAREAL AGENT</t>
  </si>
  <si>
    <t>T4-5A3</t>
  </si>
  <si>
    <t>158342,03</t>
  </si>
  <si>
    <t>HANG NHAT QUANG</t>
  </si>
  <si>
    <t>QUANG.NHAT.HANG@VN.EY.COM</t>
  </si>
  <si>
    <t>0903 697 119</t>
  </si>
  <si>
    <t>T4-5A4</t>
  </si>
  <si>
    <t>178288,00</t>
  </si>
  <si>
    <t>NGUYEN VAN THANH</t>
  </si>
  <si>
    <t>0903 830 176</t>
  </si>
  <si>
    <t>T4-5B1</t>
  </si>
  <si>
    <t>218158,46</t>
  </si>
  <si>
    <t>DANG HIEU MINH</t>
  </si>
  <si>
    <t>MINH.DANGHIEU@GMAIL.COM</t>
  </si>
  <si>
    <t>0937 868 864</t>
  </si>
  <si>
    <t>T4-5B2</t>
  </si>
  <si>
    <t>216239,53</t>
  </si>
  <si>
    <t>LE NGUYEN MINH QUAN</t>
  </si>
  <si>
    <t>THOQUAN1004@YAHOO.COM.VN</t>
  </si>
  <si>
    <t>0913 654 627</t>
  </si>
  <si>
    <t>T4-5B5</t>
  </si>
  <si>
    <t>233590,50</t>
  </si>
  <si>
    <t>CTY TNHH DETAI (VI&amp;#7878;T NAM)</t>
  </si>
  <si>
    <t>MINSON@DETAI.COM.TW</t>
  </si>
  <si>
    <t>0938 317 936</t>
  </si>
  <si>
    <t>PHAM THI HUYEN TRANG-REFERRAL PROGRAM</t>
  </si>
  <si>
    <t>T4-5B6</t>
  </si>
  <si>
    <t>212216,40</t>
  </si>
  <si>
    <t>HOANG QUYET THANG</t>
  </si>
  <si>
    <t>TANHUNGLOC.LTD@GMAIL.COM</t>
  </si>
  <si>
    <t>0908 001 188</t>
  </si>
  <si>
    <t>T4-6A3</t>
  </si>
  <si>
    <t>CTY TNHH QUOC TE FLEMING VIETNAM</t>
  </si>
  <si>
    <t>T4-6A4</t>
  </si>
  <si>
    <t>174071,49</t>
  </si>
  <si>
    <t>TRAN VAN MANH</t>
  </si>
  <si>
    <t>KIMDUNG_THE@YAHOO.COM.VN</t>
  </si>
  <si>
    <t>0937 967 986</t>
  </si>
  <si>
    <t>T4-6B1</t>
  </si>
  <si>
    <t>215205,88</t>
  </si>
  <si>
    <t>TRUONG QUOC HUNG</t>
  </si>
  <si>
    <t>0979 599 999</t>
  </si>
  <si>
    <t>T4-6B2</t>
  </si>
  <si>
    <t>236404,93</t>
  </si>
  <si>
    <t>KY QUANG BUU</t>
  </si>
  <si>
    <t>KYQUANGBUU@GMAIL.COM</t>
  </si>
  <si>
    <t>0903 932 333</t>
  </si>
  <si>
    <t>T4-6B5</t>
  </si>
  <si>
    <t>212058,00</t>
  </si>
  <si>
    <t>LE VAN TRUONG</t>
  </si>
  <si>
    <t>TRUONG.LE@FIVESTARGROUP.VN</t>
  </si>
  <si>
    <t>0937 218 888</t>
  </si>
  <si>
    <t>T4-6B6</t>
  </si>
  <si>
    <t>DAO XUAN THUY</t>
  </si>
  <si>
    <t>THUY@MATCOASIA.VN</t>
  </si>
  <si>
    <t>0903 858 597</t>
  </si>
  <si>
    <t>T4-7A3</t>
  </si>
  <si>
    <t>NGO THI HOAI PHUONG</t>
  </si>
  <si>
    <t>PHUONGAA77@YAHOO.COM</t>
  </si>
  <si>
    <t>0985 042 636</t>
  </si>
  <si>
    <t>T4-7A4</t>
  </si>
  <si>
    <t>165807,84</t>
  </si>
  <si>
    <t>NGUYEN VAN THONG</t>
  </si>
  <si>
    <t>0948 955 557</t>
  </si>
  <si>
    <t>T4-7B1</t>
  </si>
  <si>
    <t>213154,87</t>
  </si>
  <si>
    <t>T4-7B2</t>
  </si>
  <si>
    <t>LE THI THU LAN</t>
  </si>
  <si>
    <t>T4-7B5</t>
  </si>
  <si>
    <t>210036,98</t>
  </si>
  <si>
    <t>TRAN VAN DUNG</t>
  </si>
  <si>
    <t>DEARDZUNG@GMAIL.COM</t>
  </si>
  <si>
    <t>012 3451 8208</t>
  </si>
  <si>
    <t>T4-7B6</t>
  </si>
  <si>
    <t>200436,85</t>
  </si>
  <si>
    <t>MAI PHUOC DUNG</t>
  </si>
  <si>
    <t>MAIPHUOC@HOTMAIL.COM</t>
  </si>
  <si>
    <t>04 3799 2589</t>
  </si>
  <si>
    <t>0938 446 789</t>
  </si>
  <si>
    <t>T4-8A3</t>
  </si>
  <si>
    <t>T4-8A4</t>
  </si>
  <si>
    <t>162464,50</t>
  </si>
  <si>
    <t>LAM THU THUY</t>
  </si>
  <si>
    <t>DISCOVERYCOMBODIA@GMAIL.COM</t>
  </si>
  <si>
    <t>T4-8B1</t>
  </si>
  <si>
    <t>219597,84</t>
  </si>
  <si>
    <t>NGUYEN NHU VINH</t>
  </si>
  <si>
    <t>VHT@HOANGTHANH.VN</t>
  </si>
  <si>
    <t>0976 778 899</t>
  </si>
  <si>
    <t>T4-8B2</t>
  </si>
  <si>
    <t>HENG BOON LEONG</t>
  </si>
  <si>
    <t>RAYHENG@YAHOO.COM.SG</t>
  </si>
  <si>
    <t>T4-8B5</t>
  </si>
  <si>
    <t>203742,00</t>
  </si>
  <si>
    <t>LE KIM KHANH</t>
  </si>
  <si>
    <t>KHANHLK5@YAHOO.COM</t>
  </si>
  <si>
    <t>0913 905 981</t>
  </si>
  <si>
    <t>T4-8B6</t>
  </si>
  <si>
    <t>225798,25</t>
  </si>
  <si>
    <t>HAN ANH VU</t>
  </si>
  <si>
    <t>VUANHHANBD@YAHOO.COM.VN</t>
  </si>
  <si>
    <t>0902 489 079</t>
  </si>
  <si>
    <t>T4-9A3</t>
  </si>
  <si>
    <t>THUY_LE73@YAHOO.COM</t>
  </si>
  <si>
    <t>08 6281 3009</t>
  </si>
  <si>
    <t>0913 725 925</t>
  </si>
  <si>
    <t>T4-9A4</t>
  </si>
  <si>
    <t>BUI DAC XAN RAC</t>
  </si>
  <si>
    <t>BUIDACXANRAC@GMAIL.COM</t>
  </si>
  <si>
    <t>0982 929 268</t>
  </si>
  <si>
    <t>NGUYE N THI HAI VAN-HUNG HUNG THINH AGEN</t>
  </si>
  <si>
    <t>T4-9B1</t>
  </si>
  <si>
    <t>LE THUY</t>
  </si>
  <si>
    <t>THUYL@OUCRU.ORG</t>
  </si>
  <si>
    <t>0907 490 930</t>
  </si>
  <si>
    <t>T4-9B2</t>
  </si>
  <si>
    <t>210941,28</t>
  </si>
  <si>
    <t>TRAN HOAI DUONG</t>
  </si>
  <si>
    <t>HOAIDUONGVN@GMAIL.COM, HODUYTAMVN@GMAIL.COM</t>
  </si>
  <si>
    <t>0919 695 555</t>
  </si>
  <si>
    <t>0914 251 717</t>
  </si>
  <si>
    <t>T4-9B5</t>
  </si>
  <si>
    <t>LUONG THE DUNG</t>
  </si>
  <si>
    <t>DUNGLT52@GMAIL.COM</t>
  </si>
  <si>
    <t>0903 831 358</t>
  </si>
  <si>
    <t>PHAM THI HUYENTRANG</t>
  </si>
  <si>
    <t>T4-9B6</t>
  </si>
  <si>
    <t>NGUYEN THI XUAN HUONG</t>
  </si>
  <si>
    <t>LAMHUONG6601@YAHOO.COM</t>
  </si>
  <si>
    <t>0908 381 930</t>
  </si>
  <si>
    <t>T4-GA3</t>
  </si>
  <si>
    <t>227808,86</t>
  </si>
  <si>
    <t>DAO NGOC ANH</t>
  </si>
  <si>
    <t>ANHDN.BTH@ACB.COM.VN</t>
  </si>
  <si>
    <t>0942 620 999</t>
  </si>
  <si>
    <t>T4-GB1</t>
  </si>
  <si>
    <t>269419,69</t>
  </si>
  <si>
    <t>T4-GB2</t>
  </si>
  <si>
    <t>310288,00</t>
  </si>
  <si>
    <t>T4-GB5</t>
  </si>
  <si>
    <t>257810,39</t>
  </si>
  <si>
    <t>T4-GB6</t>
  </si>
  <si>
    <t>313104,00</t>
  </si>
  <si>
    <t>DANG VAN HUNG</t>
  </si>
  <si>
    <t>0906 871 958</t>
  </si>
  <si>
    <t>TOWER 5</t>
  </si>
  <si>
    <t>T5-10A3</t>
  </si>
  <si>
    <t>199949,75</t>
  </si>
  <si>
    <t>T5-10A5</t>
  </si>
  <si>
    <t>NGUYEN CANH TUNG-REPEATED BUYER</t>
  </si>
  <si>
    <t>T5-10B1</t>
  </si>
  <si>
    <t>280618,71</t>
  </si>
  <si>
    <t>CTY TNHH TM DV PRESCOT</t>
  </si>
  <si>
    <t>HUYNH.HOANG@PRESCOTLTD.COM</t>
  </si>
  <si>
    <t>3939 0126-0988080381</t>
  </si>
  <si>
    <t>0903 003 592</t>
  </si>
  <si>
    <t>PHAM THI THUY TRANG-SAVILLS</t>
  </si>
  <si>
    <t>T5-10B2</t>
  </si>
  <si>
    <t>228470,44</t>
  </si>
  <si>
    <t>LE HONG LINH</t>
  </si>
  <si>
    <t>LEHONGLINH.FTU@GMAIL.COM</t>
  </si>
  <si>
    <t>0903 978 552</t>
  </si>
  <si>
    <t>NGUYEN THI HAI VAN-REPEATED PURCHASER</t>
  </si>
  <si>
    <t>T5-10B7</t>
  </si>
  <si>
    <t>262503,57</t>
  </si>
  <si>
    <t>TRAN QUOC HUNG</t>
  </si>
  <si>
    <t>HUNGTRANQUOC2000@YAHOO.COM</t>
  </si>
  <si>
    <t>0933 805 072</t>
  </si>
  <si>
    <t>T5-10B8</t>
  </si>
  <si>
    <t>232522,79</t>
  </si>
  <si>
    <t>TRAN VAN NGHIA</t>
  </si>
  <si>
    <t>TVNGHIA0112@YAHOO.COM</t>
  </si>
  <si>
    <t>0975 730 099</t>
  </si>
  <si>
    <t>T5-11A3</t>
  </si>
  <si>
    <t>215381,66</t>
  </si>
  <si>
    <t>DANG ANH DUC</t>
  </si>
  <si>
    <t>0989 634 752</t>
  </si>
  <si>
    <t>T5-11B1</t>
  </si>
  <si>
    <t>269416,65</t>
  </si>
  <si>
    <t>LIU, CHIA-LUNG</t>
  </si>
  <si>
    <t>DRAGON.LIU@VN.RITECK.COM</t>
  </si>
  <si>
    <t>0919 254 930</t>
  </si>
  <si>
    <t>T5-11B2</t>
  </si>
  <si>
    <t>231541,89</t>
  </si>
  <si>
    <t>TEO HWEE HOON</t>
  </si>
  <si>
    <t>HOON@WOODYFURNITUREIND.COM</t>
  </si>
  <si>
    <t>T5-11B7</t>
  </si>
  <si>
    <t>265273,71</t>
  </si>
  <si>
    <t>T5-11B8</t>
  </si>
  <si>
    <t>238763,76</t>
  </si>
  <si>
    <t>CHI-NK@HCM.VNN.VN</t>
  </si>
  <si>
    <t>0963 060 764</t>
  </si>
  <si>
    <t>T5-12B1</t>
  </si>
  <si>
    <t>261593,97</t>
  </si>
  <si>
    <t>TSAI , YU-MING</t>
  </si>
  <si>
    <t>BRUCE.TSAI@RETURNGOLD.COM.VN</t>
  </si>
  <si>
    <t>0909 883 283</t>
  </si>
  <si>
    <t>T5-12B2</t>
  </si>
  <si>
    <t>234613,74</t>
  </si>
  <si>
    <t>PHAM THI THUY TRANG-DIA OC 24 AGENT</t>
  </si>
  <si>
    <t>T5-12B7</t>
  </si>
  <si>
    <t>262573,56</t>
  </si>
  <si>
    <t>T5-12B8</t>
  </si>
  <si>
    <t>241434,38</t>
  </si>
  <si>
    <t>NGUYEN THUY HUONG</t>
  </si>
  <si>
    <t>THUYHUONGN@GMAIL.COM</t>
  </si>
  <si>
    <t>0904 889 889</t>
  </si>
  <si>
    <t>T5-1A4</t>
  </si>
  <si>
    <t>200968,54</t>
  </si>
  <si>
    <t>NGUYEN THI THU HUYEN</t>
  </si>
  <si>
    <t>HUYENNT506@GMAIL.COM</t>
  </si>
  <si>
    <t>0933 295 599</t>
  </si>
  <si>
    <t>PHAM THI THUY TRANG-EVERLAND AGENT</t>
  </si>
  <si>
    <t>T5-1B2</t>
  </si>
  <si>
    <t>252731,04</t>
  </si>
  <si>
    <t>T5-2A3</t>
  </si>
  <si>
    <t>193145,40</t>
  </si>
  <si>
    <t>LIU, KUO-WEI</t>
  </si>
  <si>
    <t>BINHEVER@GMAIL.COM</t>
  </si>
  <si>
    <t>0908 295 588</t>
  </si>
  <si>
    <t>NGUYEN CANH TUNG-VINAPLACE AGENT</t>
  </si>
  <si>
    <t>T5-2A4</t>
  </si>
  <si>
    <t>199475,36</t>
  </si>
  <si>
    <t>T5-2A6</t>
  </si>
  <si>
    <t>189501,59</t>
  </si>
  <si>
    <t>PHAM HOANG YEN</t>
  </si>
  <si>
    <t>PHAMHOANGYEN99@GMAIL.COM</t>
  </si>
  <si>
    <t>0914 433 903</t>
  </si>
  <si>
    <t>T5-2B1</t>
  </si>
  <si>
    <t>260299,45</t>
  </si>
  <si>
    <t>YANG, KUO-LIEN</t>
  </si>
  <si>
    <t>STEVENYANG1113@GMAIL.COM</t>
  </si>
  <si>
    <t>0916 266 363</t>
  </si>
  <si>
    <t>T5-2B2</t>
  </si>
  <si>
    <t>253462,75</t>
  </si>
  <si>
    <t>T5-2B8</t>
  </si>
  <si>
    <t>257872,41</t>
  </si>
  <si>
    <t>T5-3AB1</t>
  </si>
  <si>
    <t>247197,20</t>
  </si>
  <si>
    <t>TSENG, CHIA-HUNG</t>
  </si>
  <si>
    <t>CHT912@KAROS.COM.TW</t>
  </si>
  <si>
    <t>0163 561 9076</t>
  </si>
  <si>
    <t>0933 760 168</t>
  </si>
  <si>
    <t>T5-3AB2</t>
  </si>
  <si>
    <t>240495,20</t>
  </si>
  <si>
    <t>T5-5A3</t>
  </si>
  <si>
    <t>198047,25</t>
  </si>
  <si>
    <t>HOANG HUYEN ANH</t>
  </si>
  <si>
    <t>ANH.HOANG@HCMUTE.EDU.VN</t>
  </si>
  <si>
    <t>0983 708 259</t>
  </si>
  <si>
    <t>T5-5A5</t>
  </si>
  <si>
    <t>198047,26</t>
  </si>
  <si>
    <t>LIN, CHIA-CHUN</t>
  </si>
  <si>
    <t>FIRSTMETAL_VN@VNN.VN</t>
  </si>
  <si>
    <t>0918 262 736</t>
  </si>
  <si>
    <t>T5-5B1</t>
  </si>
  <si>
    <t>252443,40</t>
  </si>
  <si>
    <t>WEI, TZU-CHING</t>
  </si>
  <si>
    <t>1218.GRACE@GMAIL.COM</t>
  </si>
  <si>
    <t>08 6288 8385 #5100</t>
  </si>
  <si>
    <t>0126 531 3884</t>
  </si>
  <si>
    <t>T5-5B2</t>
  </si>
  <si>
    <t>229130,00</t>
  </si>
  <si>
    <t>NGUYEN THI HUONG NGA</t>
  </si>
  <si>
    <t>NGUYEN_HUONGNGA@YAHOO.COM</t>
  </si>
  <si>
    <t>0909 606 966</t>
  </si>
  <si>
    <t>T5-6B2</t>
  </si>
  <si>
    <t>235041,28</t>
  </si>
  <si>
    <t>VU TIEN HUNG</t>
  </si>
  <si>
    <t>VTH@HANOICOOLTECH.COM</t>
  </si>
  <si>
    <t>0903 426 336</t>
  </si>
  <si>
    <t>T5-7A3</t>
  </si>
  <si>
    <t>202140,75</t>
  </si>
  <si>
    <t>CTY CP SIGNATURE SPACE</t>
  </si>
  <si>
    <t>VANCOI.LAI@SIGNATURE-SPACE.COM.VN</t>
  </si>
  <si>
    <t>0909 782 879</t>
  </si>
  <si>
    <t>T5-7A4</t>
  </si>
  <si>
    <t>175860,05</t>
  </si>
  <si>
    <t>CTY TNHH THUONG MAI SAN XUAT WUSONS</t>
  </si>
  <si>
    <t>SON.VH@DAWUCORP.COM</t>
  </si>
  <si>
    <t>0651 221 2229</t>
  </si>
  <si>
    <t>0915 602 260</t>
  </si>
  <si>
    <t>T5-7A5</t>
  </si>
  <si>
    <t>200183,18</t>
  </si>
  <si>
    <t>HSU, JO-CHIA</t>
  </si>
  <si>
    <t>JESSIE@TRENDEX.COM.TW</t>
  </si>
  <si>
    <t>0908 463 088</t>
  </si>
  <si>
    <t>T5-7B1</t>
  </si>
  <si>
    <t>252939,12</t>
  </si>
  <si>
    <t>TRAN THI HANG</t>
  </si>
  <si>
    <t>TTTHA@PHUONGPHAT.COM</t>
  </si>
  <si>
    <t>0903 825 028</t>
  </si>
  <si>
    <t>T5-7B2</t>
  </si>
  <si>
    <t>235286,76</t>
  </si>
  <si>
    <t>NGUYEN THI DINH CHIEN</t>
  </si>
  <si>
    <t>DAT.EAZICARLEASE@GMAIL.COM</t>
  </si>
  <si>
    <t>0938 929 489</t>
  </si>
  <si>
    <t>T5-7B7</t>
  </si>
  <si>
    <t>256868,87</t>
  </si>
  <si>
    <t>FANG, YU-JU</t>
  </si>
  <si>
    <t>CHIENMINHCHUNG@GMAIL.COM</t>
  </si>
  <si>
    <t>0613 514 699</t>
  </si>
  <si>
    <t>0906 848 019 - MAI</t>
  </si>
  <si>
    <t>T5-8A4</t>
  </si>
  <si>
    <t>175809,82</t>
  </si>
  <si>
    <t>T5-8A5</t>
  </si>
  <si>
    <t>204187,50</t>
  </si>
  <si>
    <t>NGUYEN HUYNH THANH THUY</t>
  </si>
  <si>
    <t>TRACYNGUYENCT@GMAIL.COM</t>
  </si>
  <si>
    <t>0922 368 681</t>
  </si>
  <si>
    <t>T5-8B1</t>
  </si>
  <si>
    <t>255711,42</t>
  </si>
  <si>
    <t>NGUYEN THI MINH HA</t>
  </si>
  <si>
    <t>MINHHA@VANCUONG.COM.VN</t>
  </si>
  <si>
    <t>0912 018 474</t>
  </si>
  <si>
    <t>T5-8B2</t>
  </si>
  <si>
    <t>235959,78</t>
  </si>
  <si>
    <t>TRUONG HONG HA</t>
  </si>
  <si>
    <t>SONGDO0606@GMAIL.COM/TUE-FUJI@HCM.FPT.VN</t>
  </si>
  <si>
    <t>0903 004 410</t>
  </si>
  <si>
    <t>0903 972 527</t>
  </si>
  <si>
    <t>T5-8B7</t>
  </si>
  <si>
    <t>259668,17</t>
  </si>
  <si>
    <t>FANG, WEI-TING</t>
  </si>
  <si>
    <t>0906 848 019-MAI</t>
  </si>
  <si>
    <t>T5-9A4</t>
  </si>
  <si>
    <t>180045,62</t>
  </si>
  <si>
    <t>MAC MY OANH</t>
  </si>
  <si>
    <t>ADUNGBAY@YAHOO.COM</t>
  </si>
  <si>
    <t>0908 006 554</t>
  </si>
  <si>
    <t>0903 813 512</t>
  </si>
  <si>
    <t>T5-9B1</t>
  </si>
  <si>
    <t>253314,04</t>
  </si>
  <si>
    <t>TSAI, HSIN-I</t>
  </si>
  <si>
    <t>SANDYTSAI@RETURNGOLD.COM.VN</t>
  </si>
  <si>
    <t>0918 684 553</t>
  </si>
  <si>
    <t>T5-9B2</t>
  </si>
  <si>
    <t>227810,89</t>
  </si>
  <si>
    <t>T5-9B7</t>
  </si>
  <si>
    <t>254432,75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</si>
</sst>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4" fillId="0" fontId="2" numFmtId="0" xfId="0" applyAlignment="1" applyBorder="1" applyFont="1">
      <alignment horizontal="right"/>
    </xf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2.13"/>
    <col customWidth="1" min="3" max="3" width="27.88"/>
    <col customWidth="1" min="4" max="4" width="40.25"/>
    <col customWidth="1" min="5" max="9" width="14.38"/>
    <col customWidth="1" min="10" max="10" width="21.0"/>
    <col customWidth="1" min="11" max="26" width="14.3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15.75" customHeight="1">
      <c r="A2" s="4" t="s">
        <v>10</v>
      </c>
      <c r="B2" s="5" t="s">
        <v>11</v>
      </c>
      <c r="C2" s="5" t="s">
        <v>12</v>
      </c>
      <c r="D2" s="5" t="s">
        <v>12</v>
      </c>
      <c r="E2" s="5" t="s">
        <v>12</v>
      </c>
      <c r="F2" s="5" t="s">
        <v>13</v>
      </c>
      <c r="G2" s="5" t="s">
        <v>12</v>
      </c>
      <c r="H2" s="5" t="s">
        <v>12</v>
      </c>
      <c r="I2" s="5" t="s">
        <v>12</v>
      </c>
      <c r="J2" s="6"/>
    </row>
    <row r="3" ht="15.75" customHeight="1">
      <c r="A3" s="4" t="s">
        <v>14</v>
      </c>
      <c r="B3" s="5" t="s">
        <v>15</v>
      </c>
      <c r="C3" s="5" t="s">
        <v>16</v>
      </c>
      <c r="D3" s="6"/>
      <c r="E3" s="6"/>
      <c r="F3" s="5">
        <v>9.08190124E8</v>
      </c>
      <c r="G3" s="5" t="s">
        <v>17</v>
      </c>
      <c r="H3" s="5">
        <v>1948.0</v>
      </c>
      <c r="I3" s="5" t="s">
        <v>18</v>
      </c>
      <c r="J3" s="6" t="s">
        <v>19</v>
      </c>
    </row>
    <row r="4" ht="15.75" customHeight="1">
      <c r="A4" s="4" t="s">
        <v>20</v>
      </c>
      <c r="B4" s="5" t="s">
        <v>21</v>
      </c>
      <c r="C4" s="5" t="s">
        <v>22</v>
      </c>
      <c r="D4" s="5" t="s">
        <v>23</v>
      </c>
      <c r="E4" s="6"/>
      <c r="F4" s="5">
        <v>9.03328685E8</v>
      </c>
      <c r="G4" s="5" t="s">
        <v>17</v>
      </c>
      <c r="H4" s="5">
        <v>1971.0</v>
      </c>
      <c r="I4" s="5" t="s">
        <v>18</v>
      </c>
      <c r="J4" s="6" t="s">
        <v>19</v>
      </c>
    </row>
    <row r="5" ht="15.75" customHeight="1">
      <c r="A5" s="4" t="s">
        <v>24</v>
      </c>
      <c r="B5" s="5" t="s">
        <v>25</v>
      </c>
      <c r="C5" s="5" t="s">
        <v>26</v>
      </c>
      <c r="D5" s="5" t="s">
        <v>27</v>
      </c>
      <c r="E5" s="5">
        <v>9.82050909E8</v>
      </c>
      <c r="F5" s="6"/>
      <c r="G5" s="5" t="s">
        <v>17</v>
      </c>
      <c r="H5" s="5">
        <v>1957.0</v>
      </c>
      <c r="I5" s="5" t="s">
        <v>18</v>
      </c>
      <c r="J5" s="6" t="s">
        <v>19</v>
      </c>
    </row>
    <row r="6" ht="15.75" customHeight="1">
      <c r="A6" s="4" t="s">
        <v>28</v>
      </c>
      <c r="B6" s="5" t="s">
        <v>29</v>
      </c>
      <c r="C6" s="5" t="s">
        <v>30</v>
      </c>
      <c r="D6" s="5" t="s">
        <v>31</v>
      </c>
      <c r="E6" s="6"/>
      <c r="F6" s="5">
        <v>9.03845554E8</v>
      </c>
      <c r="G6" s="5" t="s">
        <v>17</v>
      </c>
      <c r="H6" s="5">
        <v>1970.0</v>
      </c>
      <c r="I6" s="5" t="s">
        <v>18</v>
      </c>
      <c r="J6" s="6" t="s">
        <v>19</v>
      </c>
    </row>
    <row r="7" ht="15.75" customHeight="1">
      <c r="A7" s="4" t="s">
        <v>32</v>
      </c>
      <c r="B7" s="5" t="s">
        <v>33</v>
      </c>
      <c r="C7" s="5" t="s">
        <v>34</v>
      </c>
      <c r="D7" s="6"/>
      <c r="E7" s="6"/>
      <c r="F7" s="5">
        <v>9.47669288E8</v>
      </c>
      <c r="G7" s="5" t="s">
        <v>17</v>
      </c>
      <c r="H7" s="5">
        <v>1968.0</v>
      </c>
      <c r="I7" s="5" t="s">
        <v>18</v>
      </c>
      <c r="J7" s="6" t="s">
        <v>19</v>
      </c>
    </row>
    <row r="8" ht="15.75" customHeight="1">
      <c r="A8" s="4" t="s">
        <v>35</v>
      </c>
      <c r="B8" s="5" t="s">
        <v>36</v>
      </c>
      <c r="C8" s="5" t="s">
        <v>37</v>
      </c>
      <c r="D8" s="5" t="s">
        <v>38</v>
      </c>
      <c r="E8" s="6"/>
      <c r="F8" s="5" t="s">
        <v>39</v>
      </c>
      <c r="G8" s="5" t="s">
        <v>40</v>
      </c>
      <c r="H8" s="5">
        <v>1972.0</v>
      </c>
      <c r="I8" s="5" t="s">
        <v>18</v>
      </c>
      <c r="J8" s="6" t="s">
        <v>41</v>
      </c>
    </row>
    <row r="9" ht="15.75" customHeight="1">
      <c r="A9" s="4" t="s">
        <v>42</v>
      </c>
      <c r="B9" s="5" t="s">
        <v>43</v>
      </c>
      <c r="C9" s="5" t="s">
        <v>44</v>
      </c>
      <c r="D9" s="5" t="s">
        <v>45</v>
      </c>
      <c r="E9" s="6"/>
      <c r="F9" s="5">
        <v>9.17527819E8</v>
      </c>
      <c r="G9" s="5" t="s">
        <v>40</v>
      </c>
      <c r="H9" s="5">
        <v>1985.0</v>
      </c>
      <c r="I9" s="5" t="s">
        <v>18</v>
      </c>
      <c r="J9" s="6" t="s">
        <v>19</v>
      </c>
    </row>
    <row r="10" ht="15.75" customHeight="1">
      <c r="A10" s="4" t="s">
        <v>46</v>
      </c>
      <c r="B10" s="5" t="s">
        <v>47</v>
      </c>
      <c r="C10" s="5" t="s">
        <v>48</v>
      </c>
      <c r="D10" s="5" t="s">
        <v>49</v>
      </c>
      <c r="E10" s="6"/>
      <c r="F10" s="5">
        <v>9.0374503E8</v>
      </c>
      <c r="G10" s="5" t="s">
        <v>40</v>
      </c>
      <c r="H10" s="5">
        <v>1978.0</v>
      </c>
      <c r="I10" s="5" t="s">
        <v>18</v>
      </c>
      <c r="J10" s="6" t="s">
        <v>19</v>
      </c>
    </row>
    <row r="11" ht="15.75" customHeight="1">
      <c r="A11" s="4" t="s">
        <v>50</v>
      </c>
      <c r="B11" s="5" t="s">
        <v>51</v>
      </c>
      <c r="C11" s="5" t="s">
        <v>26</v>
      </c>
      <c r="D11" s="5" t="s">
        <v>27</v>
      </c>
      <c r="E11" s="5">
        <v>9.82050909E8</v>
      </c>
      <c r="F11" s="6"/>
      <c r="G11" s="5" t="s">
        <v>17</v>
      </c>
      <c r="H11" s="5">
        <v>1957.0</v>
      </c>
      <c r="I11" s="5" t="s">
        <v>18</v>
      </c>
      <c r="J11" s="6" t="s">
        <v>19</v>
      </c>
    </row>
    <row r="12" ht="15.75" customHeight="1">
      <c r="A12" s="4" t="s">
        <v>52</v>
      </c>
      <c r="B12" s="5" t="s">
        <v>53</v>
      </c>
      <c r="C12" s="5" t="s">
        <v>54</v>
      </c>
      <c r="D12" s="5" t="s">
        <v>55</v>
      </c>
      <c r="E12" s="6"/>
      <c r="F12" s="5">
        <v>9.03616112E8</v>
      </c>
      <c r="G12" s="5" t="s">
        <v>17</v>
      </c>
      <c r="H12" s="5">
        <v>1962.0</v>
      </c>
      <c r="I12" s="5" t="s">
        <v>18</v>
      </c>
      <c r="J12" s="6" t="s">
        <v>56</v>
      </c>
    </row>
    <row r="13" ht="15.75" customHeight="1">
      <c r="A13" s="4" t="s">
        <v>57</v>
      </c>
      <c r="B13" s="5" t="s">
        <v>58</v>
      </c>
      <c r="C13" s="5" t="s">
        <v>59</v>
      </c>
      <c r="D13" s="5" t="s">
        <v>60</v>
      </c>
      <c r="E13" s="6"/>
      <c r="F13" s="5">
        <v>9.03725426E8</v>
      </c>
      <c r="G13" s="5" t="s">
        <v>40</v>
      </c>
      <c r="H13" s="5">
        <v>1960.0</v>
      </c>
      <c r="I13" s="5" t="s">
        <v>18</v>
      </c>
      <c r="J13" s="6" t="s">
        <v>19</v>
      </c>
    </row>
    <row r="14" ht="15.75" customHeight="1">
      <c r="A14" s="4" t="s">
        <v>61</v>
      </c>
      <c r="B14" s="5" t="s">
        <v>62</v>
      </c>
      <c r="C14" s="5" t="s">
        <v>63</v>
      </c>
      <c r="D14" s="5" t="s">
        <v>64</v>
      </c>
      <c r="E14" s="6"/>
      <c r="F14" s="5">
        <v>9.09278711E8</v>
      </c>
      <c r="G14" s="5" t="s">
        <v>40</v>
      </c>
      <c r="H14" s="5">
        <v>1954.0</v>
      </c>
      <c r="I14" s="5" t="s">
        <v>18</v>
      </c>
      <c r="J14" s="6" t="s">
        <v>41</v>
      </c>
    </row>
    <row r="15" ht="15.75" customHeight="1">
      <c r="A15" s="4" t="s">
        <v>65</v>
      </c>
      <c r="B15" s="5" t="s">
        <v>66</v>
      </c>
      <c r="C15" s="5" t="s">
        <v>67</v>
      </c>
      <c r="D15" s="5" t="s">
        <v>68</v>
      </c>
      <c r="E15" s="5" t="s">
        <v>69</v>
      </c>
      <c r="F15" s="5">
        <f>6596346016</f>
        <v>6596346016</v>
      </c>
      <c r="G15" s="5" t="s">
        <v>17</v>
      </c>
      <c r="H15" s="5">
        <v>1940.0</v>
      </c>
      <c r="I15" s="5" t="s">
        <v>70</v>
      </c>
      <c r="J15" s="6" t="s">
        <v>19</v>
      </c>
    </row>
    <row r="16" ht="15.75" customHeight="1">
      <c r="A16" s="4" t="s">
        <v>71</v>
      </c>
      <c r="B16" s="5" t="s">
        <v>72</v>
      </c>
      <c r="C16" s="5" t="s">
        <v>73</v>
      </c>
      <c r="D16" s="5" t="s">
        <v>74</v>
      </c>
      <c r="E16" s="5" t="s">
        <v>75</v>
      </c>
      <c r="F16" s="5" t="s">
        <v>76</v>
      </c>
      <c r="G16" s="5" t="s">
        <v>17</v>
      </c>
      <c r="H16" s="5">
        <v>1960.0</v>
      </c>
      <c r="I16" s="5" t="s">
        <v>70</v>
      </c>
      <c r="J16" s="6" t="s">
        <v>19</v>
      </c>
    </row>
    <row r="17" ht="15.75" customHeight="1">
      <c r="A17" s="4" t="s">
        <v>77</v>
      </c>
      <c r="B17" s="5" t="s">
        <v>78</v>
      </c>
      <c r="C17" s="5" t="s">
        <v>79</v>
      </c>
      <c r="D17" s="5" t="s">
        <v>80</v>
      </c>
      <c r="E17" s="5" t="s">
        <v>81</v>
      </c>
      <c r="F17" s="6"/>
      <c r="G17" s="5" t="s">
        <v>17</v>
      </c>
      <c r="H17" s="5">
        <v>1965.0</v>
      </c>
      <c r="I17" s="5" t="s">
        <v>70</v>
      </c>
      <c r="J17" s="6" t="s">
        <v>19</v>
      </c>
    </row>
    <row r="18" ht="15.75" customHeight="1">
      <c r="A18" s="4" t="s">
        <v>82</v>
      </c>
      <c r="B18" s="5" t="s">
        <v>83</v>
      </c>
      <c r="C18" s="5" t="s">
        <v>84</v>
      </c>
      <c r="D18" s="5" t="s">
        <v>85</v>
      </c>
      <c r="E18" s="6"/>
      <c r="F18" s="5">
        <v>9.03721512E8</v>
      </c>
      <c r="G18" s="5" t="s">
        <v>40</v>
      </c>
      <c r="H18" s="5">
        <v>1969.0</v>
      </c>
      <c r="I18" s="5" t="s">
        <v>18</v>
      </c>
      <c r="J18" s="6" t="s">
        <v>86</v>
      </c>
    </row>
    <row r="19" ht="15.75" customHeight="1">
      <c r="A19" s="4" t="s">
        <v>87</v>
      </c>
      <c r="B19" s="5" t="s">
        <v>88</v>
      </c>
      <c r="C19" s="5" t="s">
        <v>79</v>
      </c>
      <c r="D19" s="5" t="s">
        <v>80</v>
      </c>
      <c r="E19" s="5" t="s">
        <v>81</v>
      </c>
      <c r="F19" s="6"/>
      <c r="G19" s="5" t="s">
        <v>17</v>
      </c>
      <c r="H19" s="5">
        <v>1965.0</v>
      </c>
      <c r="I19" s="5" t="s">
        <v>70</v>
      </c>
      <c r="J19" s="6" t="s">
        <v>19</v>
      </c>
    </row>
    <row r="20" ht="15.75" customHeight="1">
      <c r="A20" s="4" t="s">
        <v>89</v>
      </c>
      <c r="B20" s="5" t="s">
        <v>90</v>
      </c>
      <c r="C20" s="5" t="s">
        <v>91</v>
      </c>
      <c r="D20" s="5" t="s">
        <v>92</v>
      </c>
      <c r="E20" s="6"/>
      <c r="F20" s="5">
        <v>9.03909665E8</v>
      </c>
      <c r="G20" s="5" t="s">
        <v>17</v>
      </c>
      <c r="H20" s="5">
        <v>1961.0</v>
      </c>
      <c r="I20" s="5" t="s">
        <v>18</v>
      </c>
      <c r="J20" s="6" t="s">
        <v>56</v>
      </c>
    </row>
    <row r="21" ht="15.75" customHeight="1">
      <c r="A21" s="4" t="s">
        <v>93</v>
      </c>
      <c r="B21" s="5" t="s">
        <v>94</v>
      </c>
      <c r="C21" s="5" t="s">
        <v>95</v>
      </c>
      <c r="D21" s="5" t="s">
        <v>96</v>
      </c>
      <c r="E21" s="6"/>
      <c r="F21" s="5">
        <f>17022102107</f>
        <v>17022102107</v>
      </c>
      <c r="G21" s="5" t="s">
        <v>17</v>
      </c>
      <c r="H21" s="5">
        <v>1958.0</v>
      </c>
      <c r="I21" s="5" t="s">
        <v>70</v>
      </c>
      <c r="J21" s="6" t="s">
        <v>19</v>
      </c>
    </row>
    <row r="22" ht="15.75" customHeight="1">
      <c r="A22" s="4" t="s">
        <v>97</v>
      </c>
      <c r="B22" s="5" t="s">
        <v>98</v>
      </c>
      <c r="C22" s="5" t="s">
        <v>99</v>
      </c>
      <c r="D22" s="5" t="s">
        <v>100</v>
      </c>
      <c r="E22" s="5">
        <v>8443441.0</v>
      </c>
      <c r="F22" s="5">
        <v>9.03844266E8</v>
      </c>
      <c r="G22" s="5" t="s">
        <v>40</v>
      </c>
      <c r="H22" s="5">
        <v>1971.0</v>
      </c>
      <c r="I22" s="5" t="s">
        <v>18</v>
      </c>
      <c r="J22" s="6" t="s">
        <v>41</v>
      </c>
    </row>
    <row r="23" ht="15.75" customHeight="1">
      <c r="A23" s="4" t="s">
        <v>101</v>
      </c>
      <c r="B23" s="5" t="s">
        <v>102</v>
      </c>
      <c r="C23" s="5" t="s">
        <v>67</v>
      </c>
      <c r="D23" s="5" t="s">
        <v>68</v>
      </c>
      <c r="E23" s="6" t="s">
        <v>69</v>
      </c>
      <c r="F23" s="5">
        <f>6596346016</f>
        <v>6596346016</v>
      </c>
      <c r="G23" s="5" t="s">
        <v>17</v>
      </c>
      <c r="H23" s="5">
        <v>1940.0</v>
      </c>
      <c r="I23" s="5" t="s">
        <v>70</v>
      </c>
      <c r="J23" s="6" t="s">
        <v>19</v>
      </c>
    </row>
    <row r="24" ht="15.75" customHeight="1">
      <c r="A24" s="4" t="s">
        <v>103</v>
      </c>
      <c r="B24" s="5" t="s">
        <v>104</v>
      </c>
      <c r="C24" s="5" t="s">
        <v>105</v>
      </c>
      <c r="D24" s="5" t="s">
        <v>106</v>
      </c>
      <c r="E24" s="5">
        <v>3898.9074</v>
      </c>
      <c r="F24" s="5">
        <v>9.06850788E8</v>
      </c>
      <c r="G24" s="5" t="s">
        <v>40</v>
      </c>
      <c r="H24" s="5">
        <v>1979.0</v>
      </c>
      <c r="I24" s="5" t="s">
        <v>18</v>
      </c>
      <c r="J24" s="6" t="s">
        <v>107</v>
      </c>
    </row>
    <row r="25" ht="15.75" customHeight="1">
      <c r="A25" s="4" t="s">
        <v>108</v>
      </c>
      <c r="B25" s="5" t="s">
        <v>109</v>
      </c>
      <c r="C25" s="5" t="s">
        <v>110</v>
      </c>
      <c r="D25" s="5" t="s">
        <v>111</v>
      </c>
      <c r="E25" s="7">
        <v>9.82261818E8</v>
      </c>
      <c r="F25" s="5">
        <v>7.022658883E9</v>
      </c>
      <c r="G25" s="5" t="s">
        <v>17</v>
      </c>
      <c r="H25" s="5">
        <v>1955.0</v>
      </c>
      <c r="I25" s="5" t="s">
        <v>70</v>
      </c>
      <c r="J25" s="6" t="s">
        <v>19</v>
      </c>
    </row>
    <row r="26" ht="15.75" customHeight="1">
      <c r="A26" s="4" t="s">
        <v>112</v>
      </c>
      <c r="B26" s="5" t="s">
        <v>113</v>
      </c>
      <c r="C26" s="5" t="s">
        <v>114</v>
      </c>
      <c r="D26" s="5" t="s">
        <v>115</v>
      </c>
      <c r="E26" s="6"/>
      <c r="F26" s="5">
        <v>9.04633336E8</v>
      </c>
      <c r="G26" s="5" t="s">
        <v>40</v>
      </c>
      <c r="H26" s="5">
        <v>1975.0</v>
      </c>
      <c r="I26" s="5" t="s">
        <v>18</v>
      </c>
      <c r="J26" s="6" t="s">
        <v>41</v>
      </c>
    </row>
    <row r="27" ht="15.75" customHeight="1">
      <c r="A27" s="4" t="s">
        <v>116</v>
      </c>
      <c r="B27" s="5" t="s">
        <v>117</v>
      </c>
      <c r="C27" s="5" t="s">
        <v>118</v>
      </c>
      <c r="D27" s="5" t="s">
        <v>119</v>
      </c>
      <c r="E27" s="5" t="s">
        <v>120</v>
      </c>
      <c r="F27" s="6"/>
      <c r="G27" s="5" t="s">
        <v>40</v>
      </c>
      <c r="H27" s="5">
        <v>1973.0</v>
      </c>
      <c r="I27" s="5" t="s">
        <v>18</v>
      </c>
      <c r="J27" s="6" t="s">
        <v>19</v>
      </c>
    </row>
    <row r="28" ht="15.75" customHeight="1">
      <c r="A28" s="4" t="s">
        <v>121</v>
      </c>
      <c r="B28" s="5" t="s">
        <v>122</v>
      </c>
      <c r="C28" s="5" t="s">
        <v>123</v>
      </c>
      <c r="D28" s="6"/>
      <c r="E28" s="6"/>
      <c r="F28" s="5">
        <v>9.06376355E8</v>
      </c>
      <c r="G28" s="5" t="s">
        <v>40</v>
      </c>
      <c r="H28" s="5">
        <v>1990.0</v>
      </c>
      <c r="I28" s="5" t="s">
        <v>18</v>
      </c>
      <c r="J28" s="6" t="s">
        <v>41</v>
      </c>
    </row>
    <row r="29" ht="15.75" customHeight="1">
      <c r="A29" s="4" t="s">
        <v>124</v>
      </c>
      <c r="B29" s="5" t="s">
        <v>125</v>
      </c>
      <c r="C29" s="5" t="s">
        <v>126</v>
      </c>
      <c r="D29" s="5" t="s">
        <v>127</v>
      </c>
      <c r="E29" s="5" t="s">
        <v>128</v>
      </c>
      <c r="F29" s="6"/>
      <c r="G29" s="5" t="s">
        <v>17</v>
      </c>
      <c r="H29" s="5">
        <v>1964.0</v>
      </c>
      <c r="I29" s="5" t="s">
        <v>70</v>
      </c>
      <c r="J29" s="6" t="s">
        <v>19</v>
      </c>
    </row>
    <row r="30" ht="15.75" customHeight="1">
      <c r="A30" s="4" t="s">
        <v>129</v>
      </c>
      <c r="B30" s="5" t="s">
        <v>130</v>
      </c>
      <c r="C30" s="5" t="s">
        <v>131</v>
      </c>
      <c r="D30" s="5" t="s">
        <v>132</v>
      </c>
      <c r="E30" s="5" t="s">
        <v>133</v>
      </c>
      <c r="F30" s="5">
        <f>821064794645</f>
        <v>821064794645</v>
      </c>
      <c r="G30" s="5" t="s">
        <v>17</v>
      </c>
      <c r="H30" s="5">
        <v>1970.0</v>
      </c>
      <c r="I30" s="5" t="s">
        <v>70</v>
      </c>
      <c r="J30" s="6" t="s">
        <v>56</v>
      </c>
    </row>
    <row r="31" ht="15.75" customHeight="1">
      <c r="A31" s="4" t="s">
        <v>134</v>
      </c>
      <c r="B31" s="5" t="s">
        <v>135</v>
      </c>
      <c r="C31" s="5" t="s">
        <v>67</v>
      </c>
      <c r="D31" s="5" t="s">
        <v>68</v>
      </c>
      <c r="E31" s="6" t="s">
        <v>69</v>
      </c>
      <c r="F31" s="5">
        <f>6596346016</f>
        <v>6596346016</v>
      </c>
      <c r="G31" s="5" t="s">
        <v>17</v>
      </c>
      <c r="H31" s="5">
        <v>1940.0</v>
      </c>
      <c r="I31" s="5" t="s">
        <v>70</v>
      </c>
      <c r="J31" s="6" t="s">
        <v>19</v>
      </c>
    </row>
    <row r="32" ht="15.75" customHeight="1">
      <c r="A32" s="4" t="s">
        <v>136</v>
      </c>
      <c r="B32" s="5" t="s">
        <v>137</v>
      </c>
      <c r="C32" s="5" t="s">
        <v>138</v>
      </c>
      <c r="D32" s="5" t="s">
        <v>139</v>
      </c>
      <c r="E32" s="6"/>
      <c r="F32" s="5">
        <v>9.08300467E8</v>
      </c>
      <c r="G32" s="5" t="s">
        <v>17</v>
      </c>
      <c r="H32" s="5">
        <v>1968.0</v>
      </c>
      <c r="I32" s="5" t="s">
        <v>70</v>
      </c>
      <c r="J32" s="6" t="s">
        <v>56</v>
      </c>
    </row>
    <row r="33" ht="15.75" customHeight="1">
      <c r="A33" s="4" t="s">
        <v>140</v>
      </c>
      <c r="B33" s="5" t="s">
        <v>141</v>
      </c>
      <c r="C33" s="5" t="s">
        <v>95</v>
      </c>
      <c r="D33" s="5" t="s">
        <v>96</v>
      </c>
      <c r="E33" s="6"/>
      <c r="F33" s="5">
        <f>17022102107</f>
        <v>17022102107</v>
      </c>
      <c r="G33" s="5" t="s">
        <v>17</v>
      </c>
      <c r="H33" s="5">
        <v>1958.0</v>
      </c>
      <c r="I33" s="5" t="s">
        <v>70</v>
      </c>
      <c r="J33" s="6" t="s">
        <v>19</v>
      </c>
    </row>
    <row r="34" ht="15.75" customHeight="1">
      <c r="A34" s="4" t="s">
        <v>142</v>
      </c>
      <c r="B34" s="5" t="s">
        <v>143</v>
      </c>
      <c r="C34" s="5" t="s">
        <v>144</v>
      </c>
      <c r="D34" s="5" t="s">
        <v>145</v>
      </c>
      <c r="E34" s="6"/>
      <c r="F34" s="5" t="s">
        <v>146</v>
      </c>
      <c r="G34" s="5" t="s">
        <v>40</v>
      </c>
      <c r="H34" s="5">
        <v>1963.0</v>
      </c>
      <c r="I34" s="5" t="s">
        <v>70</v>
      </c>
      <c r="J34" s="6" t="s">
        <v>56</v>
      </c>
    </row>
    <row r="35" ht="15.75" customHeight="1">
      <c r="A35" s="4" t="s">
        <v>147</v>
      </c>
      <c r="B35" s="5" t="s">
        <v>148</v>
      </c>
      <c r="C35" s="5" t="s">
        <v>110</v>
      </c>
      <c r="D35" s="5" t="s">
        <v>111</v>
      </c>
      <c r="E35" s="7">
        <v>9.82261818E8</v>
      </c>
      <c r="F35" s="5">
        <v>7.022658883E9</v>
      </c>
      <c r="G35" s="5" t="s">
        <v>17</v>
      </c>
      <c r="H35" s="5">
        <v>1955.0</v>
      </c>
      <c r="I35" s="5" t="s">
        <v>70</v>
      </c>
      <c r="J35" s="6" t="s">
        <v>19</v>
      </c>
    </row>
    <row r="36" ht="15.75" customHeight="1">
      <c r="A36" s="4" t="s">
        <v>149</v>
      </c>
      <c r="B36" s="5" t="s">
        <v>150</v>
      </c>
      <c r="C36" s="5" t="s">
        <v>151</v>
      </c>
      <c r="D36" s="5" t="s">
        <v>152</v>
      </c>
      <c r="E36" s="6"/>
      <c r="F36" s="5" t="s">
        <v>153</v>
      </c>
      <c r="G36" s="5" t="s">
        <v>40</v>
      </c>
      <c r="H36" s="5">
        <v>1979.0</v>
      </c>
      <c r="I36" s="5" t="s">
        <v>18</v>
      </c>
      <c r="J36" s="6" t="s">
        <v>19</v>
      </c>
    </row>
    <row r="37" ht="15.75" customHeight="1">
      <c r="A37" s="4" t="s">
        <v>154</v>
      </c>
      <c r="B37" s="5" t="s">
        <v>155</v>
      </c>
      <c r="C37" s="5" t="s">
        <v>156</v>
      </c>
      <c r="D37" s="5" t="s">
        <v>157</v>
      </c>
      <c r="E37" s="6"/>
      <c r="F37" s="5">
        <v>9.88559999E8</v>
      </c>
      <c r="G37" s="5" t="s">
        <v>40</v>
      </c>
      <c r="H37" s="5">
        <v>1976.0</v>
      </c>
      <c r="I37" s="5" t="s">
        <v>18</v>
      </c>
      <c r="J37" s="6" t="s">
        <v>19</v>
      </c>
    </row>
    <row r="38" ht="15.75" customHeight="1">
      <c r="A38" s="4" t="s">
        <v>158</v>
      </c>
      <c r="B38" s="5" t="s">
        <v>159</v>
      </c>
      <c r="C38" s="5" t="s">
        <v>160</v>
      </c>
      <c r="D38" s="5" t="s">
        <v>161</v>
      </c>
      <c r="E38" s="5" t="s">
        <v>162</v>
      </c>
      <c r="F38" s="5">
        <f>6598621728</f>
        <v>6598621728</v>
      </c>
      <c r="G38" s="5" t="s">
        <v>40</v>
      </c>
      <c r="H38" s="5">
        <v>1962.0</v>
      </c>
      <c r="I38" s="5" t="s">
        <v>70</v>
      </c>
      <c r="J38" s="6" t="s">
        <v>41</v>
      </c>
    </row>
    <row r="39" ht="15.75" customHeight="1">
      <c r="A39" s="4" t="s">
        <v>163</v>
      </c>
      <c r="B39" s="5" t="s">
        <v>83</v>
      </c>
      <c r="C39" s="5" t="s">
        <v>164</v>
      </c>
      <c r="D39" s="5" t="s">
        <v>165</v>
      </c>
      <c r="E39" s="6"/>
      <c r="F39" s="5">
        <v>9.08609831E8</v>
      </c>
      <c r="G39" s="5" t="s">
        <v>40</v>
      </c>
      <c r="H39" s="5">
        <v>1986.0</v>
      </c>
      <c r="I39" s="5" t="s">
        <v>18</v>
      </c>
      <c r="J39" s="6" t="s">
        <v>19</v>
      </c>
    </row>
    <row r="40" ht="15.75" customHeight="1">
      <c r="A40" s="4" t="s">
        <v>166</v>
      </c>
      <c r="B40" s="5" t="s">
        <v>167</v>
      </c>
      <c r="C40" s="5" t="s">
        <v>168</v>
      </c>
      <c r="D40" s="5" t="s">
        <v>169</v>
      </c>
      <c r="E40" s="7">
        <v>9.16810181E8</v>
      </c>
      <c r="F40" s="5">
        <v>9.03405644E8</v>
      </c>
      <c r="G40" s="5" t="s">
        <v>40</v>
      </c>
      <c r="H40" s="5">
        <v>1974.0</v>
      </c>
      <c r="I40" s="5" t="s">
        <v>18</v>
      </c>
      <c r="J40" s="6" t="s">
        <v>56</v>
      </c>
    </row>
    <row r="41" ht="15.75" customHeight="1">
      <c r="A41" s="4" t="s">
        <v>170</v>
      </c>
      <c r="B41" s="5" t="s">
        <v>171</v>
      </c>
      <c r="C41" s="5" t="s">
        <v>26</v>
      </c>
      <c r="D41" s="5" t="s">
        <v>27</v>
      </c>
      <c r="E41" s="5">
        <v>9.82050909E8</v>
      </c>
      <c r="F41" s="6"/>
      <c r="G41" s="5" t="s">
        <v>17</v>
      </c>
      <c r="H41" s="5">
        <v>1957.0</v>
      </c>
      <c r="I41" s="5" t="s">
        <v>18</v>
      </c>
      <c r="J41" s="6" t="s">
        <v>19</v>
      </c>
    </row>
    <row r="42" ht="15.75" customHeight="1">
      <c r="A42" s="4" t="s">
        <v>172</v>
      </c>
      <c r="B42" s="5" t="s">
        <v>173</v>
      </c>
      <c r="C42" s="5" t="s">
        <v>174</v>
      </c>
      <c r="D42" s="5" t="s">
        <v>175</v>
      </c>
      <c r="E42" s="6"/>
      <c r="F42" s="5">
        <v>9.03325555E8</v>
      </c>
      <c r="G42" s="5" t="s">
        <v>17</v>
      </c>
      <c r="H42" s="5">
        <v>1971.0</v>
      </c>
      <c r="I42" s="5" t="s">
        <v>18</v>
      </c>
      <c r="J42" s="6" t="s">
        <v>19</v>
      </c>
    </row>
    <row r="43" ht="15.75" customHeight="1">
      <c r="A43" s="4" t="s">
        <v>176</v>
      </c>
      <c r="B43" s="5" t="s">
        <v>90</v>
      </c>
      <c r="C43" s="5" t="s">
        <v>177</v>
      </c>
      <c r="D43" s="5" t="s">
        <v>178</v>
      </c>
      <c r="E43" s="6"/>
      <c r="F43" s="5" t="s">
        <v>179</v>
      </c>
      <c r="G43" s="5" t="s">
        <v>17</v>
      </c>
      <c r="H43" s="5">
        <v>1957.0</v>
      </c>
      <c r="I43" s="5" t="s">
        <v>18</v>
      </c>
      <c r="J43" s="6" t="s">
        <v>19</v>
      </c>
    </row>
    <row r="44" ht="15.75" customHeight="1">
      <c r="A44" s="4" t="s">
        <v>180</v>
      </c>
      <c r="B44" s="5" t="s">
        <v>181</v>
      </c>
      <c r="C44" s="5" t="s">
        <v>182</v>
      </c>
      <c r="D44" s="5" t="s">
        <v>183</v>
      </c>
      <c r="E44" s="6"/>
      <c r="F44" s="6"/>
      <c r="G44" s="5" t="s">
        <v>40</v>
      </c>
      <c r="H44" s="5">
        <v>1949.0</v>
      </c>
      <c r="I44" s="5" t="s">
        <v>70</v>
      </c>
      <c r="J44" s="6" t="s">
        <v>41</v>
      </c>
    </row>
    <row r="45" ht="15.75" customHeight="1">
      <c r="A45" s="4" t="s">
        <v>184</v>
      </c>
      <c r="B45" s="5" t="s">
        <v>185</v>
      </c>
      <c r="C45" s="5" t="s">
        <v>186</v>
      </c>
      <c r="D45" s="5" t="s">
        <v>187</v>
      </c>
      <c r="E45" s="5">
        <v>3823.3346</v>
      </c>
      <c r="F45" s="5">
        <v>9.03827979E8</v>
      </c>
      <c r="G45" s="5" t="s">
        <v>17</v>
      </c>
      <c r="H45" s="5">
        <v>0.0</v>
      </c>
      <c r="I45" s="5" t="s">
        <v>188</v>
      </c>
      <c r="J45" s="6" t="s">
        <v>19</v>
      </c>
    </row>
    <row r="46" ht="15.75" customHeight="1">
      <c r="A46" s="4" t="s">
        <v>189</v>
      </c>
      <c r="B46" s="5" t="s">
        <v>190</v>
      </c>
      <c r="C46" s="5" t="s">
        <v>191</v>
      </c>
      <c r="D46" s="6"/>
      <c r="E46" s="6"/>
      <c r="F46" s="5">
        <v>1.229987487E9</v>
      </c>
      <c r="G46" s="6"/>
      <c r="H46" s="5">
        <v>0.0</v>
      </c>
      <c r="I46" s="5" t="s">
        <v>188</v>
      </c>
      <c r="J46" s="6" t="s">
        <v>19</v>
      </c>
    </row>
    <row r="47" ht="15.75" customHeight="1">
      <c r="A47" s="4" t="s">
        <v>192</v>
      </c>
      <c r="B47" s="5" t="s">
        <v>193</v>
      </c>
      <c r="C47" s="5" t="s">
        <v>186</v>
      </c>
      <c r="D47" s="5" t="s">
        <v>187</v>
      </c>
      <c r="E47" s="5">
        <v>3823.3346</v>
      </c>
      <c r="F47" s="5">
        <v>9.03827979E8</v>
      </c>
      <c r="G47" s="5" t="s">
        <v>17</v>
      </c>
      <c r="H47" s="5">
        <v>0.0</v>
      </c>
      <c r="I47" s="5" t="s">
        <v>188</v>
      </c>
      <c r="J47" s="6" t="s">
        <v>19</v>
      </c>
    </row>
    <row r="48" ht="15.75" customHeight="1">
      <c r="A48" s="4" t="s">
        <v>194</v>
      </c>
      <c r="B48" s="5" t="s">
        <v>195</v>
      </c>
      <c r="C48" s="5" t="s">
        <v>186</v>
      </c>
      <c r="D48" s="5" t="s">
        <v>187</v>
      </c>
      <c r="E48" s="5">
        <v>3823.3346</v>
      </c>
      <c r="F48" s="5">
        <v>9.03827979E8</v>
      </c>
      <c r="G48" s="5" t="s">
        <v>17</v>
      </c>
      <c r="H48" s="5">
        <v>0.0</v>
      </c>
      <c r="I48" s="5" t="s">
        <v>188</v>
      </c>
      <c r="J48" s="6" t="s">
        <v>19</v>
      </c>
    </row>
    <row r="49" ht="15.75" customHeight="1">
      <c r="A49" s="4" t="s">
        <v>196</v>
      </c>
      <c r="B49" s="5" t="s">
        <v>197</v>
      </c>
      <c r="C49" s="5" t="s">
        <v>198</v>
      </c>
      <c r="D49" s="5" t="s">
        <v>199</v>
      </c>
      <c r="E49" s="5">
        <v>83.7423327</v>
      </c>
      <c r="F49" s="5">
        <v>9.03778787E8</v>
      </c>
      <c r="G49" s="5" t="s">
        <v>40</v>
      </c>
      <c r="H49" s="5">
        <v>0.0</v>
      </c>
      <c r="I49" s="5" t="s">
        <v>188</v>
      </c>
      <c r="J49" s="6" t="s">
        <v>19</v>
      </c>
    </row>
    <row r="50" ht="15.75" customHeight="1">
      <c r="A50" s="4" t="s">
        <v>200</v>
      </c>
      <c r="B50" s="5" t="s">
        <v>201</v>
      </c>
      <c r="C50" s="5" t="s">
        <v>186</v>
      </c>
      <c r="D50" s="5" t="s">
        <v>187</v>
      </c>
      <c r="E50" s="5">
        <v>3823.3346</v>
      </c>
      <c r="F50" s="5">
        <v>9.03827979E8</v>
      </c>
      <c r="G50" s="5" t="s">
        <v>17</v>
      </c>
      <c r="H50" s="5">
        <v>0.0</v>
      </c>
      <c r="I50" s="5" t="s">
        <v>188</v>
      </c>
      <c r="J50" s="6" t="s">
        <v>19</v>
      </c>
    </row>
    <row r="51" ht="15.75" customHeight="1">
      <c r="A51" s="4" t="s">
        <v>202</v>
      </c>
      <c r="B51" s="5" t="s">
        <v>203</v>
      </c>
      <c r="C51" s="5" t="s">
        <v>126</v>
      </c>
      <c r="D51" s="5" t="s">
        <v>127</v>
      </c>
      <c r="E51" s="5" t="s">
        <v>128</v>
      </c>
      <c r="F51" s="6"/>
      <c r="G51" s="5" t="s">
        <v>17</v>
      </c>
      <c r="H51" s="5">
        <v>1964.0</v>
      </c>
      <c r="I51" s="5" t="s">
        <v>70</v>
      </c>
      <c r="J51" s="6" t="s">
        <v>19</v>
      </c>
    </row>
    <row r="52" ht="15.75" customHeight="1">
      <c r="A52" s="4" t="s">
        <v>204</v>
      </c>
      <c r="B52" s="5" t="s">
        <v>205</v>
      </c>
      <c r="C52" s="5" t="s">
        <v>206</v>
      </c>
      <c r="D52" s="5" t="s">
        <v>207</v>
      </c>
      <c r="E52" s="6"/>
      <c r="F52" s="5">
        <v>9.03033612E8</v>
      </c>
      <c r="G52" s="5" t="s">
        <v>40</v>
      </c>
      <c r="H52" s="5">
        <v>1971.0</v>
      </c>
      <c r="I52" s="5" t="s">
        <v>18</v>
      </c>
      <c r="J52" s="6" t="s">
        <v>86</v>
      </c>
    </row>
    <row r="53" ht="15.75" customHeight="1">
      <c r="A53" s="4" t="s">
        <v>208</v>
      </c>
      <c r="B53" s="5" t="s">
        <v>209</v>
      </c>
      <c r="C53" s="5" t="s">
        <v>210</v>
      </c>
      <c r="D53" s="5" t="s">
        <v>211</v>
      </c>
      <c r="E53" s="6"/>
      <c r="F53" s="5">
        <v>9.13237407E8</v>
      </c>
      <c r="G53" s="5" t="s">
        <v>40</v>
      </c>
      <c r="H53" s="5">
        <v>1974.0</v>
      </c>
      <c r="I53" s="5" t="s">
        <v>18</v>
      </c>
      <c r="J53" s="6" t="s">
        <v>212</v>
      </c>
    </row>
    <row r="54" ht="15.75" customHeight="1">
      <c r="A54" s="4" t="s">
        <v>213</v>
      </c>
      <c r="B54" s="5" t="s">
        <v>214</v>
      </c>
      <c r="C54" s="5" t="s">
        <v>215</v>
      </c>
      <c r="D54" s="5" t="s">
        <v>216</v>
      </c>
      <c r="E54" s="6"/>
      <c r="F54" s="5" t="s">
        <v>217</v>
      </c>
      <c r="G54" s="5" t="s">
        <v>17</v>
      </c>
      <c r="H54" s="5">
        <v>1965.0</v>
      </c>
      <c r="I54" s="5" t="s">
        <v>18</v>
      </c>
      <c r="J54" s="6" t="s">
        <v>107</v>
      </c>
    </row>
    <row r="55" ht="15.75" customHeight="1">
      <c r="A55" s="4" t="s">
        <v>218</v>
      </c>
      <c r="B55" s="5" t="s">
        <v>219</v>
      </c>
      <c r="C55" s="5" t="s">
        <v>220</v>
      </c>
      <c r="D55" s="6"/>
      <c r="E55" s="6"/>
      <c r="F55" s="5">
        <v>9.07404045E8</v>
      </c>
      <c r="G55" s="5" t="s">
        <v>17</v>
      </c>
      <c r="H55" s="5">
        <v>1959.0</v>
      </c>
      <c r="I55" s="5" t="s">
        <v>18</v>
      </c>
      <c r="J55" s="6" t="s">
        <v>19</v>
      </c>
    </row>
    <row r="56" ht="15.75" customHeight="1">
      <c r="A56" s="4" t="s">
        <v>221</v>
      </c>
      <c r="B56" s="5" t="s">
        <v>222</v>
      </c>
      <c r="C56" s="5" t="s">
        <v>223</v>
      </c>
      <c r="D56" s="5" t="s">
        <v>224</v>
      </c>
      <c r="E56" s="6"/>
      <c r="F56" s="5" t="s">
        <v>225</v>
      </c>
      <c r="G56" s="5" t="s">
        <v>40</v>
      </c>
      <c r="H56" s="5">
        <v>1953.0</v>
      </c>
      <c r="I56" s="5" t="s">
        <v>18</v>
      </c>
      <c r="J56" s="6" t="s">
        <v>226</v>
      </c>
    </row>
    <row r="57" ht="15.75" customHeight="1">
      <c r="A57" s="4" t="s">
        <v>227</v>
      </c>
      <c r="B57" s="5" t="s">
        <v>228</v>
      </c>
      <c r="C57" s="5" t="s">
        <v>229</v>
      </c>
      <c r="D57" s="5" t="s">
        <v>230</v>
      </c>
      <c r="E57" s="6"/>
      <c r="F57" s="5">
        <v>9.03021054E8</v>
      </c>
      <c r="G57" s="5" t="s">
        <v>40</v>
      </c>
      <c r="H57" s="5">
        <v>1972.0</v>
      </c>
      <c r="I57" s="5" t="s">
        <v>18</v>
      </c>
      <c r="J57" s="6" t="s">
        <v>86</v>
      </c>
    </row>
    <row r="58" ht="15.75" customHeight="1">
      <c r="A58" s="4" t="s">
        <v>231</v>
      </c>
      <c r="B58" s="5" t="s">
        <v>232</v>
      </c>
      <c r="C58" s="5" t="s">
        <v>233</v>
      </c>
      <c r="D58" s="6"/>
      <c r="E58" s="6"/>
      <c r="F58" s="5">
        <v>9.0992631E8</v>
      </c>
      <c r="G58" s="5" t="s">
        <v>40</v>
      </c>
      <c r="H58" s="5">
        <v>1977.0</v>
      </c>
      <c r="I58" s="5" t="s">
        <v>18</v>
      </c>
      <c r="J58" s="6" t="s">
        <v>56</v>
      </c>
    </row>
    <row r="59" ht="15.75" customHeight="1">
      <c r="A59" s="4" t="s">
        <v>234</v>
      </c>
      <c r="B59" s="5" t="s">
        <v>235</v>
      </c>
      <c r="C59" s="5" t="s">
        <v>236</v>
      </c>
      <c r="D59" s="5" t="s">
        <v>237</v>
      </c>
      <c r="E59" s="6"/>
      <c r="F59" s="5" t="s">
        <v>238</v>
      </c>
      <c r="G59" s="5" t="s">
        <v>17</v>
      </c>
      <c r="H59" s="5">
        <v>1973.0</v>
      </c>
      <c r="I59" s="5" t="s">
        <v>70</v>
      </c>
      <c r="J59" s="6" t="s">
        <v>107</v>
      </c>
    </row>
    <row r="60" ht="15.75" customHeight="1">
      <c r="A60" s="4" t="s">
        <v>239</v>
      </c>
      <c r="B60" s="5" t="s">
        <v>240</v>
      </c>
      <c r="C60" s="5" t="s">
        <v>241</v>
      </c>
      <c r="D60" s="6"/>
      <c r="E60" s="6"/>
      <c r="F60" s="5">
        <v>9.14142029E8</v>
      </c>
      <c r="G60" s="5" t="s">
        <v>17</v>
      </c>
      <c r="H60" s="5">
        <v>1966.0</v>
      </c>
      <c r="I60" s="5" t="s">
        <v>18</v>
      </c>
      <c r="J60" s="6" t="s">
        <v>19</v>
      </c>
    </row>
    <row r="61" ht="15.75" customHeight="1">
      <c r="A61" s="4" t="s">
        <v>242</v>
      </c>
      <c r="B61" s="5" t="s">
        <v>58</v>
      </c>
      <c r="C61" s="5" t="s">
        <v>243</v>
      </c>
      <c r="D61" s="5" t="s">
        <v>244</v>
      </c>
      <c r="E61" s="5">
        <v>9.08400527E8</v>
      </c>
      <c r="F61" s="5">
        <v>9.03809172E8</v>
      </c>
      <c r="G61" s="5" t="s">
        <v>17</v>
      </c>
      <c r="H61" s="5">
        <v>1964.0</v>
      </c>
      <c r="I61" s="5" t="s">
        <v>18</v>
      </c>
      <c r="J61" s="6" t="s">
        <v>86</v>
      </c>
    </row>
    <row r="62" ht="15.75" customHeight="1">
      <c r="A62" s="4" t="s">
        <v>245</v>
      </c>
      <c r="B62" s="5" t="s">
        <v>246</v>
      </c>
      <c r="C62" s="5" t="s">
        <v>220</v>
      </c>
      <c r="D62" s="6"/>
      <c r="E62" s="6"/>
      <c r="F62" s="5">
        <v>9.07404045E8</v>
      </c>
      <c r="G62" s="5" t="s">
        <v>17</v>
      </c>
      <c r="H62" s="5">
        <v>1959.0</v>
      </c>
      <c r="I62" s="5" t="s">
        <v>18</v>
      </c>
      <c r="J62" s="6" t="s">
        <v>19</v>
      </c>
    </row>
    <row r="63" ht="15.75" customHeight="1">
      <c r="A63" s="4" t="s">
        <v>247</v>
      </c>
      <c r="B63" s="5" t="s">
        <v>248</v>
      </c>
      <c r="C63" s="5" t="s">
        <v>249</v>
      </c>
      <c r="D63" s="5" t="s">
        <v>250</v>
      </c>
      <c r="E63" s="6"/>
      <c r="F63" s="5" t="s">
        <v>251</v>
      </c>
      <c r="G63" s="5" t="s">
        <v>40</v>
      </c>
      <c r="H63" s="5">
        <v>1960.0</v>
      </c>
      <c r="I63" s="5" t="s">
        <v>70</v>
      </c>
      <c r="J63" s="6" t="s">
        <v>19</v>
      </c>
    </row>
    <row r="64" ht="15.75" customHeight="1">
      <c r="A64" s="4" t="s">
        <v>252</v>
      </c>
      <c r="B64" s="5" t="s">
        <v>253</v>
      </c>
      <c r="C64" s="5" t="s">
        <v>254</v>
      </c>
      <c r="D64" s="5" t="s">
        <v>255</v>
      </c>
      <c r="E64" s="7">
        <v>9.08475999E8</v>
      </c>
      <c r="F64" s="5" t="s">
        <v>256</v>
      </c>
      <c r="G64" s="5" t="s">
        <v>17</v>
      </c>
      <c r="H64" s="5">
        <v>1956.0</v>
      </c>
      <c r="I64" s="5" t="s">
        <v>18</v>
      </c>
      <c r="J64" s="6" t="s">
        <v>19</v>
      </c>
    </row>
    <row r="65" ht="15.75" customHeight="1">
      <c r="A65" s="4" t="s">
        <v>257</v>
      </c>
      <c r="B65" s="5" t="s">
        <v>258</v>
      </c>
      <c r="C65" s="5" t="s">
        <v>259</v>
      </c>
      <c r="D65" s="5" t="s">
        <v>260</v>
      </c>
      <c r="E65" s="6"/>
      <c r="F65" s="5">
        <v>9.555734E8</v>
      </c>
      <c r="G65" s="5" t="s">
        <v>17</v>
      </c>
      <c r="H65" s="5">
        <v>1969.0</v>
      </c>
      <c r="I65" s="5" t="s">
        <v>18</v>
      </c>
      <c r="J65" s="6" t="s">
        <v>19</v>
      </c>
    </row>
    <row r="66" ht="15.75" customHeight="1">
      <c r="A66" s="4" t="s">
        <v>261</v>
      </c>
      <c r="B66" s="5" t="s">
        <v>262</v>
      </c>
      <c r="C66" s="5" t="s">
        <v>263</v>
      </c>
      <c r="D66" s="5" t="s">
        <v>264</v>
      </c>
      <c r="E66" s="6"/>
      <c r="F66" s="5" t="s">
        <v>265</v>
      </c>
      <c r="G66" s="5" t="s">
        <v>17</v>
      </c>
      <c r="H66" s="5">
        <v>1971.0</v>
      </c>
      <c r="I66" s="5" t="s">
        <v>18</v>
      </c>
      <c r="J66" s="6" t="s">
        <v>19</v>
      </c>
    </row>
    <row r="67" ht="15.75" customHeight="1">
      <c r="A67" s="4" t="s">
        <v>266</v>
      </c>
      <c r="B67" s="5" t="s">
        <v>267</v>
      </c>
      <c r="C67" s="5" t="s">
        <v>268</v>
      </c>
      <c r="D67" s="5" t="s">
        <v>269</v>
      </c>
      <c r="E67" s="6"/>
      <c r="F67" s="5" t="s">
        <v>270</v>
      </c>
      <c r="G67" s="5" t="s">
        <v>40</v>
      </c>
      <c r="H67" s="5">
        <v>1970.0</v>
      </c>
      <c r="I67" s="5" t="s">
        <v>18</v>
      </c>
      <c r="J67" s="6" t="s">
        <v>56</v>
      </c>
    </row>
    <row r="68" ht="15.75" customHeight="1">
      <c r="A68" s="4" t="s">
        <v>271</v>
      </c>
      <c r="B68" s="5" t="s">
        <v>272</v>
      </c>
      <c r="C68" s="5" t="s">
        <v>273</v>
      </c>
      <c r="D68" s="5" t="s">
        <v>161</v>
      </c>
      <c r="E68" s="5" t="s">
        <v>162</v>
      </c>
      <c r="F68" s="6"/>
      <c r="G68" s="5" t="s">
        <v>40</v>
      </c>
      <c r="H68" s="5">
        <v>1952.0</v>
      </c>
      <c r="I68" s="5" t="s">
        <v>18</v>
      </c>
      <c r="J68" s="6" t="s">
        <v>41</v>
      </c>
    </row>
    <row r="69" ht="15.75" customHeight="1">
      <c r="A69" s="4" t="s">
        <v>274</v>
      </c>
      <c r="B69" s="5" t="s">
        <v>275</v>
      </c>
      <c r="C69" s="5" t="s">
        <v>79</v>
      </c>
      <c r="D69" s="5" t="s">
        <v>80</v>
      </c>
      <c r="E69" s="5" t="s">
        <v>81</v>
      </c>
      <c r="F69" s="6"/>
      <c r="G69" s="5" t="s">
        <v>17</v>
      </c>
      <c r="H69" s="5">
        <v>1965.0</v>
      </c>
      <c r="I69" s="5" t="s">
        <v>70</v>
      </c>
      <c r="J69" s="6" t="s">
        <v>19</v>
      </c>
    </row>
    <row r="70" ht="15.75" customHeight="1">
      <c r="A70" s="4" t="s">
        <v>276</v>
      </c>
      <c r="B70" s="5" t="s">
        <v>277</v>
      </c>
      <c r="C70" s="5" t="s">
        <v>278</v>
      </c>
      <c r="D70" s="6"/>
      <c r="E70" s="5">
        <v>9.15617885E8</v>
      </c>
      <c r="F70" s="6"/>
      <c r="G70" s="5" t="s">
        <v>40</v>
      </c>
      <c r="H70" s="5">
        <v>1985.0</v>
      </c>
      <c r="I70" s="5" t="s">
        <v>18</v>
      </c>
      <c r="J70" s="6" t="s">
        <v>107</v>
      </c>
    </row>
    <row r="71" ht="15.75" customHeight="1">
      <c r="A71" s="4" t="s">
        <v>279</v>
      </c>
      <c r="B71" s="5" t="s">
        <v>280</v>
      </c>
      <c r="C71" s="5" t="s">
        <v>281</v>
      </c>
      <c r="D71" s="5" t="s">
        <v>282</v>
      </c>
      <c r="E71" s="5" t="s">
        <v>283</v>
      </c>
      <c r="F71" s="5">
        <v>9.02078889E8</v>
      </c>
      <c r="G71" s="5" t="s">
        <v>40</v>
      </c>
      <c r="H71" s="5">
        <v>1983.0</v>
      </c>
      <c r="I71" s="5" t="s">
        <v>18</v>
      </c>
      <c r="J71" s="6" t="s">
        <v>107</v>
      </c>
    </row>
    <row r="72" ht="15.75" customHeight="1">
      <c r="A72" s="4" t="s">
        <v>284</v>
      </c>
      <c r="B72" s="5" t="s">
        <v>285</v>
      </c>
      <c r="C72" s="5" t="s">
        <v>286</v>
      </c>
      <c r="D72" s="5" t="s">
        <v>287</v>
      </c>
      <c r="E72" s="6"/>
      <c r="F72" s="5" t="s">
        <v>288</v>
      </c>
      <c r="G72" s="5" t="s">
        <v>40</v>
      </c>
      <c r="H72" s="5">
        <v>1981.0</v>
      </c>
      <c r="I72" s="5" t="s">
        <v>18</v>
      </c>
      <c r="J72" s="6" t="s">
        <v>19</v>
      </c>
    </row>
    <row r="73" ht="15.75" customHeight="1">
      <c r="A73" s="4" t="s">
        <v>289</v>
      </c>
      <c r="B73" s="5" t="s">
        <v>290</v>
      </c>
      <c r="C73" s="5" t="s">
        <v>291</v>
      </c>
      <c r="D73" s="5" t="s">
        <v>292</v>
      </c>
      <c r="E73" s="6"/>
      <c r="F73" s="5">
        <v>9.12566588E8</v>
      </c>
      <c r="G73" s="5" t="s">
        <v>40</v>
      </c>
      <c r="H73" s="5">
        <v>1973.0</v>
      </c>
      <c r="I73" s="5" t="s">
        <v>18</v>
      </c>
      <c r="J73" s="6" t="s">
        <v>19</v>
      </c>
    </row>
    <row r="74" ht="15.75" customHeight="1">
      <c r="A74" s="4" t="s">
        <v>293</v>
      </c>
      <c r="B74" s="5" t="s">
        <v>294</v>
      </c>
      <c r="C74" s="5" t="s">
        <v>295</v>
      </c>
      <c r="D74" s="5" t="s">
        <v>161</v>
      </c>
      <c r="E74" s="6"/>
      <c r="F74" s="5" t="s">
        <v>162</v>
      </c>
      <c r="G74" s="5" t="s">
        <v>17</v>
      </c>
      <c r="H74" s="5">
        <v>1950.0</v>
      </c>
      <c r="I74" s="5" t="s">
        <v>70</v>
      </c>
      <c r="J74" s="6" t="s">
        <v>41</v>
      </c>
    </row>
    <row r="75" ht="15.75" customHeight="1">
      <c r="A75" s="4" t="s">
        <v>296</v>
      </c>
      <c r="B75" s="5" t="s">
        <v>297</v>
      </c>
      <c r="C75" s="5" t="s">
        <v>67</v>
      </c>
      <c r="D75" s="5" t="s">
        <v>68</v>
      </c>
      <c r="E75" s="6" t="s">
        <v>69</v>
      </c>
      <c r="F75" s="5">
        <f>6596346016</f>
        <v>6596346016</v>
      </c>
      <c r="G75" s="5" t="s">
        <v>17</v>
      </c>
      <c r="H75" s="5">
        <v>1940.0</v>
      </c>
      <c r="I75" s="5" t="s">
        <v>70</v>
      </c>
      <c r="J75" s="6" t="s">
        <v>19</v>
      </c>
    </row>
    <row r="76" ht="15.75" customHeight="1">
      <c r="A76" s="4" t="s">
        <v>298</v>
      </c>
      <c r="B76" s="5" t="s">
        <v>299</v>
      </c>
      <c r="C76" s="5" t="s">
        <v>79</v>
      </c>
      <c r="D76" s="5" t="s">
        <v>80</v>
      </c>
      <c r="E76" s="5" t="s">
        <v>81</v>
      </c>
      <c r="F76" s="6"/>
      <c r="G76" s="5" t="s">
        <v>17</v>
      </c>
      <c r="H76" s="5">
        <v>1965.0</v>
      </c>
      <c r="I76" s="5" t="s">
        <v>70</v>
      </c>
      <c r="J76" s="6" t="s">
        <v>19</v>
      </c>
    </row>
    <row r="77" ht="15.75" customHeight="1">
      <c r="A77" s="4" t="s">
        <v>300</v>
      </c>
      <c r="B77" s="5" t="s">
        <v>301</v>
      </c>
      <c r="C77" s="5" t="s">
        <v>302</v>
      </c>
      <c r="D77" s="5" t="s">
        <v>303</v>
      </c>
      <c r="E77" s="6"/>
      <c r="F77" s="5">
        <v>9.83220986E8</v>
      </c>
      <c r="G77" s="5" t="s">
        <v>17</v>
      </c>
      <c r="H77" s="5">
        <v>1986.0</v>
      </c>
      <c r="I77" s="5" t="s">
        <v>18</v>
      </c>
      <c r="J77" s="6" t="s">
        <v>107</v>
      </c>
    </row>
    <row r="78" ht="15.75" customHeight="1">
      <c r="A78" s="4" t="s">
        <v>304</v>
      </c>
      <c r="B78" s="5" t="s">
        <v>305</v>
      </c>
      <c r="C78" s="5" t="s">
        <v>67</v>
      </c>
      <c r="D78" s="5" t="s">
        <v>68</v>
      </c>
      <c r="E78" s="8" t="s">
        <v>69</v>
      </c>
      <c r="F78" s="5">
        <f>6596346016</f>
        <v>6596346016</v>
      </c>
      <c r="G78" s="5" t="s">
        <v>17</v>
      </c>
      <c r="H78" s="5">
        <v>1940.0</v>
      </c>
      <c r="I78" s="5" t="s">
        <v>70</v>
      </c>
      <c r="J78" s="6" t="s">
        <v>19</v>
      </c>
    </row>
    <row r="79" ht="15.75" customHeight="1">
      <c r="A79" s="4" t="s">
        <v>306</v>
      </c>
      <c r="B79" s="5" t="s">
        <v>307</v>
      </c>
      <c r="C79" s="5" t="s">
        <v>308</v>
      </c>
      <c r="D79" s="5" t="s">
        <v>303</v>
      </c>
      <c r="E79" s="7">
        <v>9.04698057E8</v>
      </c>
      <c r="F79" s="5">
        <v>1.214060979E9</v>
      </c>
      <c r="G79" s="5" t="s">
        <v>40</v>
      </c>
      <c r="H79" s="5">
        <v>1958.0</v>
      </c>
      <c r="I79" s="5" t="s">
        <v>18</v>
      </c>
      <c r="J79" s="6" t="s">
        <v>107</v>
      </c>
    </row>
    <row r="80" ht="15.75" customHeight="1">
      <c r="A80" s="4" t="s">
        <v>309</v>
      </c>
      <c r="B80" s="5" t="s">
        <v>201</v>
      </c>
      <c r="C80" s="5" t="s">
        <v>126</v>
      </c>
      <c r="D80" s="5" t="s">
        <v>127</v>
      </c>
      <c r="E80" s="5" t="s">
        <v>128</v>
      </c>
      <c r="F80" s="6"/>
      <c r="G80" s="5" t="s">
        <v>17</v>
      </c>
      <c r="H80" s="5">
        <v>1964.0</v>
      </c>
      <c r="I80" s="5" t="s">
        <v>70</v>
      </c>
      <c r="J80" s="6" t="s">
        <v>19</v>
      </c>
    </row>
    <row r="81" ht="15.75" customHeight="1">
      <c r="A81" s="4" t="s">
        <v>310</v>
      </c>
      <c r="B81" s="5" t="s">
        <v>311</v>
      </c>
      <c r="C81" s="5" t="s">
        <v>312</v>
      </c>
      <c r="D81" s="5" t="s">
        <v>313</v>
      </c>
      <c r="E81" s="6"/>
      <c r="F81" s="5">
        <v>9.09363636E8</v>
      </c>
      <c r="G81" s="5" t="s">
        <v>40</v>
      </c>
      <c r="H81" s="5">
        <v>1980.0</v>
      </c>
      <c r="I81" s="5" t="s">
        <v>18</v>
      </c>
      <c r="J81" s="6" t="s">
        <v>19</v>
      </c>
    </row>
    <row r="82" ht="15.75" customHeight="1">
      <c r="A82" s="4" t="s">
        <v>314</v>
      </c>
      <c r="B82" s="5" t="s">
        <v>315</v>
      </c>
      <c r="C82" s="5" t="s">
        <v>316</v>
      </c>
      <c r="D82" s="5" t="s">
        <v>317</v>
      </c>
      <c r="E82" s="5">
        <v>9.37369369E8</v>
      </c>
      <c r="F82" s="5">
        <v>9.03918308E8</v>
      </c>
      <c r="G82" s="5" t="s">
        <v>40</v>
      </c>
      <c r="H82" s="5">
        <v>1969.0</v>
      </c>
      <c r="I82" s="5" t="s">
        <v>18</v>
      </c>
      <c r="J82" s="6" t="s">
        <v>19</v>
      </c>
    </row>
    <row r="83" ht="15.75" customHeight="1">
      <c r="A83" s="4" t="s">
        <v>318</v>
      </c>
      <c r="B83" s="5" t="s">
        <v>319</v>
      </c>
      <c r="C83" s="5" t="s">
        <v>320</v>
      </c>
      <c r="D83" s="5" t="s">
        <v>321</v>
      </c>
      <c r="E83" s="6"/>
      <c r="F83" s="5">
        <v>9.03908539E8</v>
      </c>
      <c r="G83" s="5" t="s">
        <v>40</v>
      </c>
      <c r="H83" s="5">
        <v>1963.0</v>
      </c>
      <c r="I83" s="5" t="s">
        <v>18</v>
      </c>
      <c r="J83" s="6" t="s">
        <v>19</v>
      </c>
    </row>
    <row r="84" ht="15.75" customHeight="1">
      <c r="A84" s="4" t="s">
        <v>322</v>
      </c>
      <c r="B84" s="5" t="s">
        <v>323</v>
      </c>
      <c r="C84" s="5" t="s">
        <v>324</v>
      </c>
      <c r="D84" s="5" t="s">
        <v>325</v>
      </c>
      <c r="E84" s="6"/>
      <c r="F84" s="5">
        <v>9.02686688E8</v>
      </c>
      <c r="G84" s="5" t="s">
        <v>40</v>
      </c>
      <c r="H84" s="5">
        <v>1940.0</v>
      </c>
      <c r="I84" s="5" t="s">
        <v>18</v>
      </c>
      <c r="J84" s="6" t="s">
        <v>19</v>
      </c>
    </row>
    <row r="85" ht="15.75" customHeight="1">
      <c r="A85" s="4" t="s">
        <v>326</v>
      </c>
      <c r="B85" s="5" t="s">
        <v>327</v>
      </c>
      <c r="C85" s="5" t="s">
        <v>328</v>
      </c>
      <c r="D85" s="5" t="s">
        <v>329</v>
      </c>
      <c r="E85" s="5" t="s">
        <v>330</v>
      </c>
      <c r="F85" s="6"/>
      <c r="G85" s="5" t="s">
        <v>17</v>
      </c>
      <c r="H85" s="5">
        <v>1962.0</v>
      </c>
      <c r="I85" s="5" t="s">
        <v>18</v>
      </c>
      <c r="J85" s="6" t="s">
        <v>41</v>
      </c>
    </row>
    <row r="86" ht="15.75" customHeight="1">
      <c r="A86" s="4" t="s">
        <v>331</v>
      </c>
      <c r="B86" s="5" t="s">
        <v>332</v>
      </c>
      <c r="C86" s="5" t="s">
        <v>333</v>
      </c>
      <c r="D86" s="7">
        <v>9.18303636E8</v>
      </c>
      <c r="E86" s="5">
        <v>9.83677955E8</v>
      </c>
      <c r="F86" s="5">
        <v>9.03677855E8</v>
      </c>
      <c r="G86" s="5" t="s">
        <v>17</v>
      </c>
      <c r="H86" s="5">
        <v>1973.0</v>
      </c>
      <c r="I86" s="5" t="s">
        <v>18</v>
      </c>
      <c r="J86" s="6" t="s">
        <v>19</v>
      </c>
    </row>
    <row r="87" ht="15.75" customHeight="1">
      <c r="A87" s="4" t="s">
        <v>334</v>
      </c>
      <c r="B87" s="5" t="s">
        <v>102</v>
      </c>
      <c r="C87" s="5" t="s">
        <v>335</v>
      </c>
      <c r="D87" s="6"/>
      <c r="E87" s="6"/>
      <c r="F87" s="5" t="s">
        <v>336</v>
      </c>
      <c r="G87" s="5" t="s">
        <v>17</v>
      </c>
      <c r="H87" s="5">
        <v>1963.0</v>
      </c>
      <c r="I87" s="5" t="s">
        <v>18</v>
      </c>
      <c r="J87" s="6" t="s">
        <v>212</v>
      </c>
    </row>
    <row r="88" ht="15.75" customHeight="1">
      <c r="A88" s="4" t="s">
        <v>337</v>
      </c>
      <c r="B88" s="5" t="s">
        <v>338</v>
      </c>
      <c r="C88" s="5" t="s">
        <v>339</v>
      </c>
      <c r="D88" s="6"/>
      <c r="E88" s="6"/>
      <c r="F88" s="5" t="s">
        <v>340</v>
      </c>
      <c r="G88" s="5" t="s">
        <v>40</v>
      </c>
      <c r="H88" s="5">
        <v>1980.0</v>
      </c>
      <c r="I88" s="5" t="s">
        <v>18</v>
      </c>
      <c r="J88" s="6" t="s">
        <v>19</v>
      </c>
    </row>
    <row r="89" ht="15.75" customHeight="1">
      <c r="A89" s="4" t="s">
        <v>341</v>
      </c>
      <c r="B89" s="5" t="s">
        <v>342</v>
      </c>
      <c r="C89" s="5" t="s">
        <v>343</v>
      </c>
      <c r="D89" s="5" t="s">
        <v>344</v>
      </c>
      <c r="E89" s="6"/>
      <c r="F89" s="5">
        <v>9.03758917E8</v>
      </c>
      <c r="G89" s="5" t="s">
        <v>17</v>
      </c>
      <c r="H89" s="5">
        <v>1967.0</v>
      </c>
      <c r="I89" s="5" t="s">
        <v>18</v>
      </c>
      <c r="J89" s="6" t="s">
        <v>86</v>
      </c>
    </row>
    <row r="90" ht="15.75" customHeight="1">
      <c r="A90" s="4" t="s">
        <v>345</v>
      </c>
      <c r="B90" s="5" t="s">
        <v>346</v>
      </c>
      <c r="C90" s="5" t="s">
        <v>347</v>
      </c>
      <c r="D90" s="6"/>
      <c r="E90" s="6"/>
      <c r="F90" s="5" t="s">
        <v>348</v>
      </c>
      <c r="G90" s="5" t="s">
        <v>17</v>
      </c>
      <c r="H90" s="5">
        <v>1949.0</v>
      </c>
      <c r="I90" s="5" t="s">
        <v>18</v>
      </c>
      <c r="J90" s="6" t="s">
        <v>19</v>
      </c>
    </row>
    <row r="91" ht="15.75" customHeight="1">
      <c r="A91" s="4" t="s">
        <v>349</v>
      </c>
      <c r="B91" s="5" t="s">
        <v>350</v>
      </c>
      <c r="C91" s="5" t="s">
        <v>351</v>
      </c>
      <c r="D91" s="5" t="s">
        <v>352</v>
      </c>
      <c r="E91" s="6"/>
      <c r="F91" s="5">
        <v>9.03889383E8</v>
      </c>
      <c r="G91" s="5" t="s">
        <v>40</v>
      </c>
      <c r="H91" s="5">
        <v>1966.0</v>
      </c>
      <c r="I91" s="5" t="s">
        <v>18</v>
      </c>
      <c r="J91" s="6" t="s">
        <v>56</v>
      </c>
    </row>
    <row r="92" ht="15.75" customHeight="1">
      <c r="A92" s="4" t="s">
        <v>353</v>
      </c>
      <c r="B92" s="5" t="s">
        <v>354</v>
      </c>
      <c r="C92" s="5" t="s">
        <v>355</v>
      </c>
      <c r="D92" s="5" t="s">
        <v>356</v>
      </c>
      <c r="E92" s="5" t="s">
        <v>357</v>
      </c>
      <c r="F92" s="5">
        <v>9.03003968E8</v>
      </c>
      <c r="G92" s="5" t="s">
        <v>40</v>
      </c>
      <c r="H92" s="5">
        <v>1975.0</v>
      </c>
      <c r="I92" s="5" t="s">
        <v>18</v>
      </c>
      <c r="J92" s="6" t="s">
        <v>19</v>
      </c>
    </row>
    <row r="93" ht="15.75" customHeight="1">
      <c r="A93" s="4" t="s">
        <v>358</v>
      </c>
      <c r="B93" s="5" t="s">
        <v>359</v>
      </c>
      <c r="C93" s="5" t="s">
        <v>360</v>
      </c>
      <c r="D93" s="5" t="s">
        <v>361</v>
      </c>
      <c r="E93" s="6"/>
      <c r="F93" s="5" t="s">
        <v>362</v>
      </c>
      <c r="G93" s="5" t="s">
        <v>40</v>
      </c>
      <c r="H93" s="5">
        <v>1975.0</v>
      </c>
      <c r="I93" s="5" t="s">
        <v>18</v>
      </c>
      <c r="J93" s="6" t="s">
        <v>212</v>
      </c>
    </row>
    <row r="94" ht="15.75" customHeight="1">
      <c r="A94" s="4" t="s">
        <v>363</v>
      </c>
      <c r="B94" s="5" t="s">
        <v>364</v>
      </c>
      <c r="C94" s="5" t="s">
        <v>365</v>
      </c>
      <c r="D94" s="5" t="s">
        <v>366</v>
      </c>
      <c r="E94" s="6"/>
      <c r="F94" s="5" t="s">
        <v>367</v>
      </c>
      <c r="G94" s="5" t="s">
        <v>17</v>
      </c>
      <c r="H94" s="5">
        <v>1972.0</v>
      </c>
      <c r="I94" s="5" t="s">
        <v>70</v>
      </c>
      <c r="J94" s="6" t="s">
        <v>19</v>
      </c>
    </row>
    <row r="95" ht="15.75" customHeight="1">
      <c r="A95" s="4" t="s">
        <v>368</v>
      </c>
      <c r="B95" s="5" t="s">
        <v>369</v>
      </c>
      <c r="C95" s="5" t="s">
        <v>99</v>
      </c>
      <c r="D95" s="5" t="s">
        <v>100</v>
      </c>
      <c r="E95" s="5">
        <v>8443441.0</v>
      </c>
      <c r="F95" s="5">
        <v>9.03844266E8</v>
      </c>
      <c r="G95" s="5" t="s">
        <v>40</v>
      </c>
      <c r="H95" s="5">
        <v>1971.0</v>
      </c>
      <c r="I95" s="5" t="s">
        <v>18</v>
      </c>
      <c r="J95" s="6" t="s">
        <v>41</v>
      </c>
    </row>
    <row r="96" ht="15.75" customHeight="1">
      <c r="A96" s="4" t="s">
        <v>370</v>
      </c>
      <c r="B96" s="5" t="s">
        <v>371</v>
      </c>
      <c r="C96" s="5" t="s">
        <v>372</v>
      </c>
      <c r="D96" s="5" t="s">
        <v>373</v>
      </c>
      <c r="E96" s="6" t="s">
        <v>374</v>
      </c>
      <c r="F96" s="5" t="s">
        <v>375</v>
      </c>
      <c r="G96" s="5" t="s">
        <v>17</v>
      </c>
      <c r="H96" s="5">
        <v>1981.0</v>
      </c>
      <c r="I96" s="5" t="s">
        <v>18</v>
      </c>
      <c r="J96" s="6" t="s">
        <v>212</v>
      </c>
    </row>
    <row r="97" ht="15.75" customHeight="1">
      <c r="A97" s="4" t="s">
        <v>376</v>
      </c>
      <c r="B97" s="5" t="s">
        <v>377</v>
      </c>
      <c r="C97" s="5" t="s">
        <v>378</v>
      </c>
      <c r="D97" s="5" t="s">
        <v>379</v>
      </c>
      <c r="E97" s="5" t="s">
        <v>380</v>
      </c>
      <c r="F97" s="5">
        <v>9.08440909E8</v>
      </c>
      <c r="G97" s="5" t="s">
        <v>40</v>
      </c>
      <c r="H97" s="5">
        <v>1967.0</v>
      </c>
      <c r="I97" s="5" t="s">
        <v>18</v>
      </c>
      <c r="J97" s="6" t="s">
        <v>41</v>
      </c>
    </row>
    <row r="98" ht="15.75" customHeight="1">
      <c r="A98" s="4" t="s">
        <v>381</v>
      </c>
      <c r="B98" s="5" t="s">
        <v>382</v>
      </c>
      <c r="C98" s="5" t="s">
        <v>59</v>
      </c>
      <c r="D98" s="5" t="s">
        <v>60</v>
      </c>
      <c r="E98" s="6"/>
      <c r="F98" s="5">
        <v>9.03725426E8</v>
      </c>
      <c r="G98" s="5" t="s">
        <v>40</v>
      </c>
      <c r="H98" s="5">
        <v>1960.0</v>
      </c>
      <c r="I98" s="5" t="s">
        <v>18</v>
      </c>
      <c r="J98" s="6" t="s">
        <v>19</v>
      </c>
    </row>
    <row r="99" ht="15.75" customHeight="1">
      <c r="A99" s="4" t="s">
        <v>383</v>
      </c>
      <c r="B99" s="5" t="s">
        <v>384</v>
      </c>
      <c r="C99" s="5" t="s">
        <v>385</v>
      </c>
      <c r="D99" s="5" t="s">
        <v>386</v>
      </c>
      <c r="E99" s="5" t="s">
        <v>387</v>
      </c>
      <c r="F99" s="5">
        <v>9.83919109E8</v>
      </c>
      <c r="G99" s="5" t="s">
        <v>17</v>
      </c>
      <c r="H99" s="5">
        <v>1962.0</v>
      </c>
      <c r="I99" s="5" t="s">
        <v>18</v>
      </c>
      <c r="J99" s="6" t="s">
        <v>86</v>
      </c>
    </row>
    <row r="100" ht="15.75" customHeight="1">
      <c r="A100" s="4" t="s">
        <v>388</v>
      </c>
      <c r="B100" s="5" t="s">
        <v>125</v>
      </c>
      <c r="C100" s="5" t="s">
        <v>186</v>
      </c>
      <c r="D100" s="5" t="s">
        <v>187</v>
      </c>
      <c r="E100" s="5">
        <v>3823.3346</v>
      </c>
      <c r="F100" s="5">
        <v>9.03827979E8</v>
      </c>
      <c r="G100" s="5" t="s">
        <v>17</v>
      </c>
      <c r="H100" s="5">
        <v>0.0</v>
      </c>
      <c r="I100" s="5" t="s">
        <v>188</v>
      </c>
      <c r="J100" s="6" t="s">
        <v>19</v>
      </c>
    </row>
    <row r="101" ht="15.75" customHeight="1">
      <c r="A101" s="4" t="s">
        <v>389</v>
      </c>
      <c r="B101" s="5" t="s">
        <v>390</v>
      </c>
      <c r="C101" s="5" t="s">
        <v>391</v>
      </c>
      <c r="D101" s="6"/>
      <c r="E101" s="5" t="s">
        <v>392</v>
      </c>
      <c r="F101" s="5">
        <v>9.08480306E8</v>
      </c>
      <c r="G101" s="5" t="s">
        <v>17</v>
      </c>
      <c r="H101" s="5">
        <v>1974.0</v>
      </c>
      <c r="I101" s="5" t="s">
        <v>18</v>
      </c>
      <c r="J101" s="6" t="s">
        <v>107</v>
      </c>
    </row>
    <row r="102" ht="15.75" customHeight="1">
      <c r="A102" s="4" t="s">
        <v>393</v>
      </c>
      <c r="B102" s="5" t="s">
        <v>394</v>
      </c>
      <c r="C102" s="5" t="s">
        <v>186</v>
      </c>
      <c r="D102" s="5" t="s">
        <v>187</v>
      </c>
      <c r="E102" s="5">
        <v>3823.3346</v>
      </c>
      <c r="F102" s="5">
        <v>9.03827979E8</v>
      </c>
      <c r="G102" s="5" t="s">
        <v>17</v>
      </c>
      <c r="H102" s="5">
        <v>0.0</v>
      </c>
      <c r="I102" s="5" t="s">
        <v>188</v>
      </c>
      <c r="J102" s="6" t="s">
        <v>19</v>
      </c>
    </row>
    <row r="103" ht="15.75" customHeight="1">
      <c r="A103" s="4" t="s">
        <v>395</v>
      </c>
      <c r="B103" s="5" t="s">
        <v>396</v>
      </c>
      <c r="C103" s="5" t="s">
        <v>397</v>
      </c>
      <c r="D103" s="6"/>
      <c r="E103" s="5">
        <v>3989.5173</v>
      </c>
      <c r="F103" s="5">
        <v>9.57842036E8</v>
      </c>
      <c r="G103" s="5" t="s">
        <v>17</v>
      </c>
      <c r="H103" s="5">
        <v>1959.0</v>
      </c>
      <c r="I103" s="5" t="s">
        <v>18</v>
      </c>
      <c r="J103" s="6" t="s">
        <v>19</v>
      </c>
    </row>
    <row r="104" ht="15.75" customHeight="1">
      <c r="A104" s="4" t="s">
        <v>398</v>
      </c>
      <c r="B104" s="5" t="s">
        <v>72</v>
      </c>
      <c r="C104" s="5" t="s">
        <v>399</v>
      </c>
      <c r="D104" s="6"/>
      <c r="E104" s="6"/>
      <c r="F104" s="5">
        <v>9.14021406E8</v>
      </c>
      <c r="G104" s="5" t="s">
        <v>40</v>
      </c>
      <c r="H104" s="5">
        <v>1954.0</v>
      </c>
      <c r="I104" s="5" t="s">
        <v>18</v>
      </c>
      <c r="J104" s="6" t="s">
        <v>56</v>
      </c>
    </row>
    <row r="105" ht="15.75" customHeight="1">
      <c r="A105" s="4" t="s">
        <v>400</v>
      </c>
      <c r="B105" s="5" t="s">
        <v>401</v>
      </c>
      <c r="C105" s="5" t="s">
        <v>402</v>
      </c>
      <c r="D105" s="6"/>
      <c r="E105" s="5">
        <v>9895173.0</v>
      </c>
      <c r="F105" s="6"/>
      <c r="G105" s="5" t="s">
        <v>17</v>
      </c>
      <c r="H105" s="5">
        <v>1934.0</v>
      </c>
      <c r="I105" s="5" t="s">
        <v>18</v>
      </c>
      <c r="J105" s="6" t="s">
        <v>19</v>
      </c>
    </row>
    <row r="106" ht="15.75" customHeight="1">
      <c r="A106" s="4" t="s">
        <v>403</v>
      </c>
      <c r="B106" s="5" t="s">
        <v>404</v>
      </c>
      <c r="C106" s="5" t="s">
        <v>405</v>
      </c>
      <c r="D106" s="6"/>
      <c r="E106" s="5">
        <v>38433.387</v>
      </c>
      <c r="F106" s="5">
        <v>9.03828001E8</v>
      </c>
      <c r="G106" s="5" t="s">
        <v>17</v>
      </c>
      <c r="H106" s="5">
        <v>1963.0</v>
      </c>
      <c r="I106" s="5" t="s">
        <v>18</v>
      </c>
      <c r="J106" s="6" t="s">
        <v>19</v>
      </c>
    </row>
    <row r="107" ht="15.75" customHeight="1">
      <c r="A107" s="4" t="s">
        <v>406</v>
      </c>
      <c r="B107" s="5" t="s">
        <v>407</v>
      </c>
      <c r="C107" s="5" t="s">
        <v>408</v>
      </c>
      <c r="D107" s="5" t="s">
        <v>409</v>
      </c>
      <c r="E107" s="6"/>
      <c r="F107" s="5">
        <v>9.0824742E8</v>
      </c>
      <c r="G107" s="5" t="s">
        <v>40</v>
      </c>
      <c r="H107" s="5">
        <v>1964.0</v>
      </c>
      <c r="I107" s="5" t="s">
        <v>18</v>
      </c>
      <c r="J107" s="6" t="s">
        <v>19</v>
      </c>
    </row>
    <row r="108" ht="15.75" customHeight="1">
      <c r="A108" s="4" t="s">
        <v>410</v>
      </c>
      <c r="B108" s="5" t="s">
        <v>411</v>
      </c>
      <c r="C108" s="5" t="s">
        <v>412</v>
      </c>
      <c r="D108" s="5" t="s">
        <v>413</v>
      </c>
      <c r="E108" s="6"/>
      <c r="F108" s="5">
        <f>85290221811</f>
        <v>85290221811</v>
      </c>
      <c r="G108" s="5" t="s">
        <v>40</v>
      </c>
      <c r="H108" s="5">
        <v>1951.0</v>
      </c>
      <c r="I108" s="5" t="s">
        <v>70</v>
      </c>
      <c r="J108" s="6" t="s">
        <v>19</v>
      </c>
    </row>
    <row r="109" ht="15.75" customHeight="1">
      <c r="A109" s="4" t="s">
        <v>414</v>
      </c>
      <c r="B109" s="5" t="s">
        <v>415</v>
      </c>
      <c r="C109" s="5" t="s">
        <v>416</v>
      </c>
      <c r="D109" s="6"/>
      <c r="E109" s="5" t="s">
        <v>417</v>
      </c>
      <c r="F109" s="6"/>
      <c r="G109" s="5" t="s">
        <v>40</v>
      </c>
      <c r="H109" s="5">
        <v>1961.0</v>
      </c>
      <c r="I109" s="5" t="s">
        <v>18</v>
      </c>
      <c r="J109" s="6" t="s">
        <v>19</v>
      </c>
    </row>
    <row r="110" ht="15.75" customHeight="1">
      <c r="A110" s="4" t="s">
        <v>418</v>
      </c>
      <c r="B110" s="5" t="s">
        <v>419</v>
      </c>
      <c r="C110" s="5" t="s">
        <v>420</v>
      </c>
      <c r="D110" s="5" t="s">
        <v>421</v>
      </c>
      <c r="E110" s="6"/>
      <c r="F110" s="5">
        <v>9.03683645E8</v>
      </c>
      <c r="G110" s="5" t="s">
        <v>40</v>
      </c>
      <c r="H110" s="5">
        <v>1964.0</v>
      </c>
      <c r="I110" s="5" t="s">
        <v>18</v>
      </c>
      <c r="J110" s="6" t="s">
        <v>56</v>
      </c>
    </row>
    <row r="111" ht="15.75" customHeight="1">
      <c r="A111" s="4" t="s">
        <v>422</v>
      </c>
      <c r="B111" s="5" t="s">
        <v>423</v>
      </c>
      <c r="C111" s="5" t="s">
        <v>424</v>
      </c>
      <c r="D111" s="6"/>
      <c r="E111" s="5" t="s">
        <v>425</v>
      </c>
      <c r="F111" s="5">
        <v>9.03838596E8</v>
      </c>
      <c r="G111" s="5" t="s">
        <v>40</v>
      </c>
      <c r="H111" s="5">
        <v>1958.0</v>
      </c>
      <c r="I111" s="5" t="s">
        <v>18</v>
      </c>
      <c r="J111" s="6" t="s">
        <v>19</v>
      </c>
    </row>
    <row r="112" ht="15.75" customHeight="1">
      <c r="A112" s="4" t="s">
        <v>426</v>
      </c>
      <c r="B112" s="5" t="s">
        <v>427</v>
      </c>
      <c r="C112" s="5" t="s">
        <v>428</v>
      </c>
      <c r="D112" s="5" t="s">
        <v>429</v>
      </c>
      <c r="E112" s="6"/>
      <c r="F112" s="5">
        <v>9.88530039E8</v>
      </c>
      <c r="G112" s="5" t="s">
        <v>40</v>
      </c>
      <c r="H112" s="5">
        <v>1962.0</v>
      </c>
      <c r="I112" s="5" t="s">
        <v>18</v>
      </c>
      <c r="J112" s="6" t="s">
        <v>19</v>
      </c>
    </row>
    <row r="113" ht="15.75" customHeight="1">
      <c r="A113" s="4" t="s">
        <v>430</v>
      </c>
      <c r="B113" s="5" t="s">
        <v>431</v>
      </c>
      <c r="C113" s="5" t="s">
        <v>432</v>
      </c>
      <c r="D113" s="5" t="s">
        <v>433</v>
      </c>
      <c r="E113" s="5">
        <v>9.18445464E8</v>
      </c>
      <c r="F113" s="5">
        <v>9.0274127E8</v>
      </c>
      <c r="G113" s="5" t="s">
        <v>40</v>
      </c>
      <c r="H113" s="5">
        <v>1973.0</v>
      </c>
      <c r="I113" s="5" t="s">
        <v>18</v>
      </c>
      <c r="J113" s="6" t="s">
        <v>19</v>
      </c>
    </row>
    <row r="114" ht="15.75" customHeight="1">
      <c r="A114" s="4" t="s">
        <v>434</v>
      </c>
      <c r="B114" s="5" t="s">
        <v>435</v>
      </c>
      <c r="C114" s="5" t="s">
        <v>436</v>
      </c>
      <c r="D114" s="5" t="s">
        <v>437</v>
      </c>
      <c r="E114" s="6"/>
      <c r="F114" s="5">
        <f>17025910188</f>
        <v>17025910188</v>
      </c>
      <c r="G114" s="5" t="s">
        <v>40</v>
      </c>
      <c r="H114" s="5">
        <v>1960.0</v>
      </c>
      <c r="I114" s="5" t="s">
        <v>70</v>
      </c>
      <c r="J114" s="6" t="s">
        <v>19</v>
      </c>
    </row>
    <row r="115" ht="15.75" customHeight="1">
      <c r="A115" s="4" t="s">
        <v>438</v>
      </c>
      <c r="B115" s="5" t="s">
        <v>350</v>
      </c>
      <c r="C115" s="5" t="s">
        <v>328</v>
      </c>
      <c r="D115" s="5" t="s">
        <v>329</v>
      </c>
      <c r="E115" s="5" t="s">
        <v>330</v>
      </c>
      <c r="F115" s="6"/>
      <c r="G115" s="5" t="s">
        <v>17</v>
      </c>
      <c r="H115" s="5">
        <v>1962.0</v>
      </c>
      <c r="I115" s="5" t="s">
        <v>18</v>
      </c>
      <c r="J115" s="6" t="s">
        <v>212</v>
      </c>
    </row>
    <row r="116" ht="15.75" customHeight="1">
      <c r="A116" s="4" t="s">
        <v>439</v>
      </c>
      <c r="B116" s="5" t="s">
        <v>440</v>
      </c>
      <c r="C116" s="5" t="s">
        <v>441</v>
      </c>
      <c r="D116" s="5" t="s">
        <v>442</v>
      </c>
      <c r="E116" s="5" t="s">
        <v>443</v>
      </c>
      <c r="F116" s="5">
        <v>9.82322496E8</v>
      </c>
      <c r="G116" s="5" t="s">
        <v>40</v>
      </c>
      <c r="H116" s="5">
        <v>1978.0</v>
      </c>
      <c r="I116" s="5" t="s">
        <v>18</v>
      </c>
      <c r="J116" s="6" t="s">
        <v>19</v>
      </c>
    </row>
    <row r="117" ht="15.75" customHeight="1">
      <c r="A117" s="4" t="s">
        <v>444</v>
      </c>
      <c r="B117" s="5" t="s">
        <v>384</v>
      </c>
      <c r="C117" s="5" t="s">
        <v>445</v>
      </c>
      <c r="D117" s="5" t="s">
        <v>446</v>
      </c>
      <c r="E117" s="5" t="s">
        <v>447</v>
      </c>
      <c r="F117" s="5" t="s">
        <v>448</v>
      </c>
      <c r="G117" s="5" t="s">
        <v>17</v>
      </c>
      <c r="H117" s="5">
        <v>1982.0</v>
      </c>
      <c r="I117" s="5" t="s">
        <v>18</v>
      </c>
      <c r="J117" s="6" t="s">
        <v>86</v>
      </c>
    </row>
    <row r="118" ht="15.75" customHeight="1">
      <c r="A118" s="4" t="s">
        <v>449</v>
      </c>
      <c r="B118" s="5" t="s">
        <v>369</v>
      </c>
      <c r="C118" s="5" t="s">
        <v>450</v>
      </c>
      <c r="D118" s="5" t="s">
        <v>451</v>
      </c>
      <c r="E118" s="6"/>
      <c r="F118" s="5">
        <v>9.13176156E8</v>
      </c>
      <c r="G118" s="5" t="s">
        <v>17</v>
      </c>
      <c r="H118" s="5">
        <v>1976.0</v>
      </c>
      <c r="I118" s="5" t="s">
        <v>18</v>
      </c>
      <c r="J118" s="6" t="s">
        <v>19</v>
      </c>
    </row>
    <row r="119" ht="15.75" customHeight="1">
      <c r="A119" s="4" t="s">
        <v>452</v>
      </c>
      <c r="B119" s="5" t="s">
        <v>453</v>
      </c>
      <c r="C119" s="5" t="s">
        <v>454</v>
      </c>
      <c r="D119" s="5" t="s">
        <v>329</v>
      </c>
      <c r="E119" s="5" t="s">
        <v>455</v>
      </c>
      <c r="F119" s="5" t="s">
        <v>456</v>
      </c>
      <c r="G119" s="5" t="s">
        <v>40</v>
      </c>
      <c r="H119" s="5">
        <v>1974.0</v>
      </c>
      <c r="I119" s="5" t="s">
        <v>18</v>
      </c>
      <c r="J119" s="6" t="s">
        <v>212</v>
      </c>
    </row>
    <row r="120" ht="15.75" customHeight="1">
      <c r="A120" s="4" t="s">
        <v>457</v>
      </c>
      <c r="B120" s="5" t="s">
        <v>458</v>
      </c>
      <c r="C120" s="5" t="s">
        <v>459</v>
      </c>
      <c r="D120" s="5" t="s">
        <v>460</v>
      </c>
      <c r="E120" s="6"/>
      <c r="F120" s="5">
        <v>9.06156565E8</v>
      </c>
      <c r="G120" s="5" t="s">
        <v>40</v>
      </c>
      <c r="H120" s="5">
        <v>1973.0</v>
      </c>
      <c r="I120" s="5" t="s">
        <v>18</v>
      </c>
      <c r="J120" s="6" t="s">
        <v>41</v>
      </c>
    </row>
    <row r="121" ht="15.75" customHeight="1">
      <c r="A121" s="4" t="s">
        <v>461</v>
      </c>
      <c r="B121" s="5" t="s">
        <v>359</v>
      </c>
      <c r="C121" s="5" t="s">
        <v>462</v>
      </c>
      <c r="D121" s="5" t="s">
        <v>463</v>
      </c>
      <c r="E121" s="6"/>
      <c r="F121" s="5">
        <v>9.37561677E8</v>
      </c>
      <c r="G121" s="5" t="s">
        <v>17</v>
      </c>
      <c r="H121" s="5">
        <v>1982.0</v>
      </c>
      <c r="I121" s="5" t="s">
        <v>18</v>
      </c>
      <c r="J121" s="6" t="s">
        <v>19</v>
      </c>
    </row>
    <row r="122" ht="15.75" customHeight="1">
      <c r="A122" s="4" t="s">
        <v>464</v>
      </c>
      <c r="B122" s="5" t="s">
        <v>465</v>
      </c>
      <c r="C122" s="5" t="s">
        <v>466</v>
      </c>
      <c r="D122" s="5" t="s">
        <v>467</v>
      </c>
      <c r="E122" s="6"/>
      <c r="F122" s="5">
        <v>9.03678148E8</v>
      </c>
      <c r="G122" s="5" t="s">
        <v>17</v>
      </c>
      <c r="H122" s="5">
        <v>1973.0</v>
      </c>
      <c r="I122" s="5" t="s">
        <v>18</v>
      </c>
      <c r="J122" s="6" t="s">
        <v>19</v>
      </c>
    </row>
    <row r="123" ht="15.75" customHeight="1">
      <c r="A123" s="4" t="s">
        <v>468</v>
      </c>
      <c r="B123" s="5" t="s">
        <v>469</v>
      </c>
      <c r="C123" s="5" t="s">
        <v>186</v>
      </c>
      <c r="D123" s="5" t="s">
        <v>187</v>
      </c>
      <c r="E123" s="5">
        <v>3823.3346</v>
      </c>
      <c r="F123" s="5">
        <v>9.03827979E8</v>
      </c>
      <c r="G123" s="5" t="s">
        <v>17</v>
      </c>
      <c r="H123" s="5">
        <v>0.0</v>
      </c>
      <c r="I123" s="5" t="s">
        <v>188</v>
      </c>
      <c r="J123" s="6" t="s">
        <v>19</v>
      </c>
    </row>
    <row r="124" ht="15.75" customHeight="1">
      <c r="A124" s="4" t="s">
        <v>470</v>
      </c>
      <c r="B124" s="5" t="s">
        <v>471</v>
      </c>
      <c r="C124" s="5" t="s">
        <v>472</v>
      </c>
      <c r="D124" s="5" t="s">
        <v>178</v>
      </c>
      <c r="E124" s="6"/>
      <c r="F124" s="5" t="s">
        <v>179</v>
      </c>
      <c r="G124" s="5" t="s">
        <v>40</v>
      </c>
      <c r="H124" s="5">
        <v>1957.0</v>
      </c>
      <c r="I124" s="5" t="s">
        <v>18</v>
      </c>
      <c r="J124" s="6" t="s">
        <v>19</v>
      </c>
    </row>
    <row r="125" ht="15.75" customHeight="1">
      <c r="A125" s="4" t="s">
        <v>473</v>
      </c>
      <c r="B125" s="5" t="s">
        <v>474</v>
      </c>
      <c r="C125" s="5" t="s">
        <v>186</v>
      </c>
      <c r="D125" s="5" t="s">
        <v>187</v>
      </c>
      <c r="E125" s="5">
        <v>3823.3346</v>
      </c>
      <c r="F125" s="5">
        <v>9.03827979E8</v>
      </c>
      <c r="G125" s="5" t="s">
        <v>17</v>
      </c>
      <c r="H125" s="5">
        <v>0.0</v>
      </c>
      <c r="I125" s="5" t="s">
        <v>188</v>
      </c>
      <c r="J125" s="6" t="s">
        <v>19</v>
      </c>
    </row>
    <row r="126" ht="15.75" customHeight="1">
      <c r="A126" s="4" t="s">
        <v>475</v>
      </c>
      <c r="B126" s="5" t="s">
        <v>476</v>
      </c>
      <c r="C126" s="5" t="s">
        <v>477</v>
      </c>
      <c r="D126" s="5" t="s">
        <v>478</v>
      </c>
      <c r="E126" s="6"/>
      <c r="F126" s="5">
        <v>1.223930188E9</v>
      </c>
      <c r="G126" s="5" t="s">
        <v>40</v>
      </c>
      <c r="H126" s="5">
        <v>1985.0</v>
      </c>
      <c r="I126" s="5" t="s">
        <v>18</v>
      </c>
      <c r="J126" s="6" t="s">
        <v>41</v>
      </c>
    </row>
    <row r="127" ht="15.75" customHeight="1">
      <c r="A127" s="4" t="s">
        <v>479</v>
      </c>
      <c r="B127" s="5" t="s">
        <v>480</v>
      </c>
      <c r="C127" s="5" t="s">
        <v>481</v>
      </c>
      <c r="D127" s="5" t="s">
        <v>482</v>
      </c>
      <c r="E127" s="6"/>
      <c r="F127" s="5" t="s">
        <v>483</v>
      </c>
      <c r="G127" s="5" t="s">
        <v>40</v>
      </c>
      <c r="H127" s="5">
        <v>1975.0</v>
      </c>
      <c r="I127" s="5" t="s">
        <v>18</v>
      </c>
      <c r="J127" s="6" t="s">
        <v>19</v>
      </c>
    </row>
    <row r="128" ht="15.75" customHeight="1">
      <c r="A128" s="4" t="s">
        <v>484</v>
      </c>
      <c r="B128" s="5" t="s">
        <v>485</v>
      </c>
      <c r="C128" s="5" t="s">
        <v>486</v>
      </c>
      <c r="D128" s="5" t="s">
        <v>487</v>
      </c>
      <c r="E128" s="6" t="s">
        <v>488</v>
      </c>
      <c r="F128" s="5" t="s">
        <v>489</v>
      </c>
      <c r="G128" s="5" t="s">
        <v>40</v>
      </c>
      <c r="H128" s="5">
        <v>1978.0</v>
      </c>
      <c r="I128" s="5" t="s">
        <v>18</v>
      </c>
      <c r="J128" s="6" t="s">
        <v>19</v>
      </c>
    </row>
    <row r="129" ht="15.75" customHeight="1">
      <c r="A129" s="4" t="s">
        <v>490</v>
      </c>
      <c r="B129" s="5" t="s">
        <v>491</v>
      </c>
      <c r="C129" s="5" t="s">
        <v>186</v>
      </c>
      <c r="D129" s="5" t="s">
        <v>187</v>
      </c>
      <c r="E129" s="5">
        <v>3823.3346</v>
      </c>
      <c r="F129" s="5">
        <v>9.03827979E8</v>
      </c>
      <c r="G129" s="5" t="s">
        <v>17</v>
      </c>
      <c r="H129" s="5">
        <v>0.0</v>
      </c>
      <c r="I129" s="5" t="s">
        <v>188</v>
      </c>
      <c r="J129" s="6" t="s">
        <v>19</v>
      </c>
    </row>
    <row r="130" ht="15.75" customHeight="1">
      <c r="A130" s="4" t="s">
        <v>492</v>
      </c>
      <c r="B130" s="5" t="s">
        <v>493</v>
      </c>
      <c r="C130" s="5" t="s">
        <v>494</v>
      </c>
      <c r="D130" s="5" t="s">
        <v>495</v>
      </c>
      <c r="E130" s="6"/>
      <c r="F130" s="5">
        <v>9.37575527E8</v>
      </c>
      <c r="G130" s="5" t="s">
        <v>40</v>
      </c>
      <c r="H130" s="5">
        <v>1979.0</v>
      </c>
      <c r="I130" s="5" t="s">
        <v>18</v>
      </c>
      <c r="J130" s="6" t="s">
        <v>19</v>
      </c>
    </row>
    <row r="131" ht="15.75" customHeight="1">
      <c r="A131" s="4" t="s">
        <v>496</v>
      </c>
      <c r="B131" s="5" t="s">
        <v>497</v>
      </c>
      <c r="C131" s="5" t="s">
        <v>186</v>
      </c>
      <c r="D131" s="5" t="s">
        <v>187</v>
      </c>
      <c r="E131" s="5">
        <v>3823.3346</v>
      </c>
      <c r="F131" s="5">
        <v>9.03827979E8</v>
      </c>
      <c r="G131" s="5" t="s">
        <v>17</v>
      </c>
      <c r="H131" s="5">
        <v>0.0</v>
      </c>
      <c r="I131" s="5" t="s">
        <v>188</v>
      </c>
      <c r="J131" s="6" t="s">
        <v>19</v>
      </c>
    </row>
    <row r="132" ht="15.75" customHeight="1">
      <c r="A132" s="4" t="s">
        <v>498</v>
      </c>
      <c r="B132" s="5" t="s">
        <v>499</v>
      </c>
      <c r="C132" s="5" t="s">
        <v>500</v>
      </c>
      <c r="D132" s="5" t="s">
        <v>501</v>
      </c>
      <c r="E132" s="5" t="s">
        <v>502</v>
      </c>
      <c r="F132" s="5" t="s">
        <v>503</v>
      </c>
      <c r="G132" s="5" t="s">
        <v>17</v>
      </c>
      <c r="H132" s="5">
        <v>1977.0</v>
      </c>
      <c r="I132" s="5" t="s">
        <v>18</v>
      </c>
      <c r="J132" s="6" t="s">
        <v>212</v>
      </c>
    </row>
    <row r="133" ht="15.75" customHeight="1">
      <c r="A133" s="4" t="s">
        <v>504</v>
      </c>
      <c r="B133" s="5" t="s">
        <v>505</v>
      </c>
      <c r="C133" s="5" t="s">
        <v>506</v>
      </c>
      <c r="D133" s="5" t="s">
        <v>119</v>
      </c>
      <c r="E133" s="6"/>
      <c r="F133" s="5">
        <v>9.03873299E8</v>
      </c>
      <c r="G133" s="5" t="s">
        <v>40</v>
      </c>
      <c r="H133" s="5">
        <v>1996.0</v>
      </c>
      <c r="I133" s="5" t="s">
        <v>18</v>
      </c>
      <c r="J133" s="6" t="s">
        <v>86</v>
      </c>
    </row>
    <row r="134" ht="15.75" customHeight="1">
      <c r="A134" s="4" t="s">
        <v>507</v>
      </c>
      <c r="B134" s="5" t="s">
        <v>508</v>
      </c>
      <c r="C134" s="5" t="s">
        <v>509</v>
      </c>
      <c r="D134" s="6"/>
      <c r="E134" s="6"/>
      <c r="F134" s="5">
        <v>9.33687979E8</v>
      </c>
      <c r="G134" s="5" t="s">
        <v>17</v>
      </c>
      <c r="H134" s="5">
        <v>1975.0</v>
      </c>
      <c r="I134" s="5" t="s">
        <v>18</v>
      </c>
      <c r="J134" s="6" t="s">
        <v>212</v>
      </c>
    </row>
    <row r="135" ht="15.75" customHeight="1">
      <c r="A135" s="4" t="s">
        <v>510</v>
      </c>
      <c r="B135" s="5" t="s">
        <v>511</v>
      </c>
      <c r="C135" s="5" t="s">
        <v>186</v>
      </c>
      <c r="D135" s="5" t="s">
        <v>187</v>
      </c>
      <c r="E135" s="5">
        <v>3823.3346</v>
      </c>
      <c r="F135" s="5">
        <v>9.03827979E8</v>
      </c>
      <c r="G135" s="5" t="s">
        <v>17</v>
      </c>
      <c r="H135" s="5">
        <v>0.0</v>
      </c>
      <c r="I135" s="5" t="s">
        <v>188</v>
      </c>
      <c r="J135" s="6" t="s">
        <v>19</v>
      </c>
    </row>
    <row r="136" ht="15.75" customHeight="1">
      <c r="A136" s="4" t="s">
        <v>512</v>
      </c>
      <c r="B136" s="5" t="s">
        <v>513</v>
      </c>
      <c r="C136" s="5" t="s">
        <v>514</v>
      </c>
      <c r="D136" s="6"/>
      <c r="E136" s="5">
        <v>9.13903888E8</v>
      </c>
      <c r="F136" s="5">
        <v>1.222666011E9</v>
      </c>
      <c r="G136" s="5" t="s">
        <v>40</v>
      </c>
      <c r="H136" s="5">
        <v>1973.0</v>
      </c>
      <c r="I136" s="5" t="s">
        <v>18</v>
      </c>
      <c r="J136" s="6" t="s">
        <v>107</v>
      </c>
    </row>
    <row r="137" ht="15.75" customHeight="1">
      <c r="A137" s="4" t="s">
        <v>515</v>
      </c>
      <c r="B137" s="5" t="s">
        <v>516</v>
      </c>
      <c r="C137" s="5" t="s">
        <v>517</v>
      </c>
      <c r="D137" s="5" t="s">
        <v>518</v>
      </c>
      <c r="E137" s="6"/>
      <c r="F137" s="5" t="s">
        <v>519</v>
      </c>
      <c r="G137" s="5" t="s">
        <v>40</v>
      </c>
      <c r="H137" s="5">
        <v>1975.0</v>
      </c>
      <c r="I137" s="5" t="s">
        <v>18</v>
      </c>
      <c r="J137" s="6" t="s">
        <v>19</v>
      </c>
    </row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I$1:$I$137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3.0"/>
    <col customWidth="1" min="3" max="3" width="26.13"/>
    <col customWidth="1" min="4" max="4" width="41.25"/>
    <col customWidth="1" min="5" max="6" width="14.38"/>
    <col customWidth="1" min="7" max="7" width="9.88"/>
    <col customWidth="1" min="8" max="8" width="9.75"/>
    <col customWidth="1" min="9" max="9" width="14.38"/>
    <col customWidth="1" min="10" max="10" width="26.75"/>
    <col customWidth="1" min="11" max="26" width="14.38"/>
  </cols>
  <sheetData>
    <row r="1" ht="15.75" customHeight="1">
      <c r="A1" s="1" t="s">
        <v>520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4" t="s">
        <v>10</v>
      </c>
      <c r="B2" s="5" t="s">
        <v>11</v>
      </c>
      <c r="C2" s="5" t="s">
        <v>12</v>
      </c>
      <c r="D2" s="5" t="s">
        <v>12</v>
      </c>
      <c r="E2" s="5" t="s">
        <v>12</v>
      </c>
      <c r="F2" s="5" t="s">
        <v>13</v>
      </c>
      <c r="G2" s="5" t="s">
        <v>12</v>
      </c>
      <c r="H2" s="5" t="s">
        <v>12</v>
      </c>
      <c r="I2" s="5" t="s">
        <v>12</v>
      </c>
      <c r="J2" s="6"/>
    </row>
    <row r="3" ht="15.75" customHeight="1">
      <c r="A3" s="4" t="s">
        <v>521</v>
      </c>
      <c r="B3" s="5" t="s">
        <v>522</v>
      </c>
      <c r="C3" s="5" t="s">
        <v>523</v>
      </c>
      <c r="D3" s="5" t="s">
        <v>524</v>
      </c>
      <c r="E3" s="6"/>
      <c r="F3" s="5">
        <v>9.09868622E8</v>
      </c>
      <c r="G3" s="5" t="s">
        <v>40</v>
      </c>
      <c r="H3" s="5">
        <v>1974.0</v>
      </c>
      <c r="I3" s="5" t="s">
        <v>18</v>
      </c>
      <c r="J3" s="5" t="s">
        <v>212</v>
      </c>
    </row>
    <row r="4" ht="15.75" customHeight="1">
      <c r="A4" s="4" t="s">
        <v>525</v>
      </c>
      <c r="B4" s="5" t="s">
        <v>526</v>
      </c>
      <c r="C4" s="5" t="s">
        <v>527</v>
      </c>
      <c r="D4" s="5" t="s">
        <v>528</v>
      </c>
      <c r="E4" s="6"/>
      <c r="F4" s="5">
        <v>9.03919838E8</v>
      </c>
      <c r="G4" s="5" t="s">
        <v>40</v>
      </c>
      <c r="H4" s="5">
        <v>1967.0</v>
      </c>
      <c r="I4" s="5" t="s">
        <v>18</v>
      </c>
      <c r="J4" s="5" t="s">
        <v>107</v>
      </c>
    </row>
    <row r="5" ht="15.75" customHeight="1">
      <c r="A5" s="4" t="s">
        <v>529</v>
      </c>
      <c r="B5" s="5" t="s">
        <v>530</v>
      </c>
      <c r="C5" s="5" t="s">
        <v>531</v>
      </c>
      <c r="D5" s="5" t="s">
        <v>532</v>
      </c>
      <c r="E5" s="6"/>
      <c r="F5" s="5" t="s">
        <v>533</v>
      </c>
      <c r="G5" s="5" t="s">
        <v>40</v>
      </c>
      <c r="H5" s="5">
        <v>1977.0</v>
      </c>
      <c r="I5" s="5" t="s">
        <v>18</v>
      </c>
      <c r="J5" s="5" t="s">
        <v>534</v>
      </c>
    </row>
    <row r="6" ht="15.75" customHeight="1">
      <c r="A6" s="4" t="s">
        <v>535</v>
      </c>
      <c r="B6" s="5" t="s">
        <v>536</v>
      </c>
      <c r="C6" s="5" t="s">
        <v>537</v>
      </c>
      <c r="D6" s="5" t="s">
        <v>538</v>
      </c>
      <c r="E6" s="5" t="s">
        <v>539</v>
      </c>
      <c r="F6" s="5">
        <v>9.17777877E8</v>
      </c>
      <c r="G6" s="5" t="s">
        <v>40</v>
      </c>
      <c r="H6" s="5">
        <v>1964.0</v>
      </c>
      <c r="I6" s="5" t="s">
        <v>18</v>
      </c>
      <c r="J6" s="5" t="s">
        <v>212</v>
      </c>
    </row>
    <row r="7" ht="15.75" customHeight="1">
      <c r="A7" s="4" t="s">
        <v>540</v>
      </c>
      <c r="B7" s="5" t="s">
        <v>235</v>
      </c>
      <c r="C7" s="5" t="s">
        <v>541</v>
      </c>
      <c r="D7" s="6"/>
      <c r="E7" s="5">
        <v>5123325.0</v>
      </c>
      <c r="F7" s="5">
        <v>9.18325642E8</v>
      </c>
      <c r="G7" s="5" t="s">
        <v>40</v>
      </c>
      <c r="H7" s="5">
        <v>1969.0</v>
      </c>
      <c r="I7" s="5" t="s">
        <v>18</v>
      </c>
      <c r="J7" s="5" t="s">
        <v>56</v>
      </c>
    </row>
    <row r="8" ht="15.75" customHeight="1">
      <c r="A8" s="4" t="s">
        <v>542</v>
      </c>
      <c r="B8" s="5" t="s">
        <v>543</v>
      </c>
      <c r="C8" s="5" t="s">
        <v>544</v>
      </c>
      <c r="D8" s="5" t="s">
        <v>545</v>
      </c>
      <c r="E8" s="6"/>
      <c r="F8" s="5">
        <v>9.03918971E8</v>
      </c>
      <c r="G8" s="5" t="s">
        <v>40</v>
      </c>
      <c r="H8" s="5">
        <v>1966.0</v>
      </c>
      <c r="I8" s="5" t="s">
        <v>70</v>
      </c>
      <c r="J8" s="5" t="s">
        <v>19</v>
      </c>
    </row>
    <row r="9" ht="15.75" customHeight="1">
      <c r="A9" s="4" t="s">
        <v>546</v>
      </c>
      <c r="B9" s="5" t="s">
        <v>547</v>
      </c>
      <c r="C9" s="5" t="s">
        <v>548</v>
      </c>
      <c r="D9" s="5" t="s">
        <v>549</v>
      </c>
      <c r="E9" s="6"/>
      <c r="F9" s="5">
        <v>9.03653548E8</v>
      </c>
      <c r="G9" s="5" t="s">
        <v>40</v>
      </c>
      <c r="H9" s="5">
        <v>1965.0</v>
      </c>
      <c r="I9" s="5" t="s">
        <v>18</v>
      </c>
      <c r="J9" s="5" t="s">
        <v>86</v>
      </c>
    </row>
    <row r="10" ht="15.75" customHeight="1">
      <c r="A10" s="4" t="s">
        <v>550</v>
      </c>
      <c r="B10" s="5" t="s">
        <v>551</v>
      </c>
      <c r="C10" s="5" t="s">
        <v>552</v>
      </c>
      <c r="D10" s="5" t="s">
        <v>553</v>
      </c>
      <c r="E10" s="6"/>
      <c r="F10" s="5">
        <v>9.12187082E8</v>
      </c>
      <c r="G10" s="5" t="s">
        <v>40</v>
      </c>
      <c r="H10" s="5">
        <v>1982.0</v>
      </c>
      <c r="I10" s="5" t="s">
        <v>18</v>
      </c>
      <c r="J10" s="5" t="s">
        <v>86</v>
      </c>
    </row>
    <row r="11" ht="15.75" customHeight="1">
      <c r="A11" s="4" t="s">
        <v>554</v>
      </c>
      <c r="B11" s="5" t="s">
        <v>555</v>
      </c>
      <c r="C11" s="5" t="s">
        <v>556</v>
      </c>
      <c r="D11" s="5" t="s">
        <v>557</v>
      </c>
      <c r="E11" s="6"/>
      <c r="F11" s="5">
        <v>9.03840332E8</v>
      </c>
      <c r="G11" s="5" t="s">
        <v>17</v>
      </c>
      <c r="H11" s="5">
        <v>1964.0</v>
      </c>
      <c r="I11" s="5" t="s">
        <v>70</v>
      </c>
      <c r="J11" s="5" t="s">
        <v>19</v>
      </c>
    </row>
    <row r="12" ht="15.75" customHeight="1">
      <c r="A12" s="4" t="s">
        <v>558</v>
      </c>
      <c r="B12" s="5" t="s">
        <v>559</v>
      </c>
      <c r="C12" s="5" t="s">
        <v>560</v>
      </c>
      <c r="D12" s="5" t="s">
        <v>561</v>
      </c>
      <c r="E12" s="6"/>
      <c r="F12" s="5" t="s">
        <v>562</v>
      </c>
      <c r="G12" s="5" t="s">
        <v>40</v>
      </c>
      <c r="H12" s="5">
        <v>1979.0</v>
      </c>
      <c r="I12" s="5" t="s">
        <v>18</v>
      </c>
      <c r="J12" s="5" t="s">
        <v>19</v>
      </c>
    </row>
    <row r="13" ht="15.75" customHeight="1">
      <c r="A13" s="4" t="s">
        <v>563</v>
      </c>
      <c r="B13" s="5" t="s">
        <v>564</v>
      </c>
      <c r="C13" s="5" t="s">
        <v>565</v>
      </c>
      <c r="D13" s="5" t="s">
        <v>566</v>
      </c>
      <c r="E13" s="6"/>
      <c r="F13" s="5" t="s">
        <v>567</v>
      </c>
      <c r="G13" s="5" t="s">
        <v>17</v>
      </c>
      <c r="H13" s="5">
        <v>1975.0</v>
      </c>
      <c r="I13" s="5" t="s">
        <v>18</v>
      </c>
      <c r="J13" s="5" t="s">
        <v>212</v>
      </c>
    </row>
    <row r="14" ht="15.75" customHeight="1">
      <c r="A14" s="4" t="s">
        <v>568</v>
      </c>
      <c r="B14" s="5" t="s">
        <v>569</v>
      </c>
      <c r="C14" s="5" t="s">
        <v>570</v>
      </c>
      <c r="D14" s="5" t="s">
        <v>571</v>
      </c>
      <c r="E14" s="6"/>
      <c r="F14" s="5">
        <f>125201251</f>
        <v>125201251</v>
      </c>
      <c r="G14" s="5" t="s">
        <v>17</v>
      </c>
      <c r="H14" s="5">
        <v>1951.0</v>
      </c>
      <c r="I14" s="5" t="s">
        <v>70</v>
      </c>
      <c r="J14" s="5" t="s">
        <v>19</v>
      </c>
    </row>
    <row r="15" ht="15.75" customHeight="1">
      <c r="A15" s="4" t="s">
        <v>572</v>
      </c>
      <c r="B15" s="5" t="s">
        <v>573</v>
      </c>
      <c r="C15" s="5" t="s">
        <v>574</v>
      </c>
      <c r="D15" s="6"/>
      <c r="E15" s="6"/>
      <c r="F15" s="5">
        <v>1.224185738E9</v>
      </c>
      <c r="G15" s="5" t="s">
        <v>17</v>
      </c>
      <c r="H15" s="5">
        <v>1947.0</v>
      </c>
      <c r="I15" s="5" t="s">
        <v>18</v>
      </c>
      <c r="J15" s="5" t="s">
        <v>19</v>
      </c>
    </row>
    <row r="16" ht="15.75" customHeight="1">
      <c r="A16" s="4" t="s">
        <v>575</v>
      </c>
      <c r="B16" s="5" t="s">
        <v>576</v>
      </c>
      <c r="C16" s="5" t="s">
        <v>577</v>
      </c>
      <c r="D16" s="5" t="s">
        <v>578</v>
      </c>
      <c r="E16" s="5">
        <v>4.37616266E8</v>
      </c>
      <c r="F16" s="5">
        <v>9.03211019E8</v>
      </c>
      <c r="G16" s="5" t="s">
        <v>40</v>
      </c>
      <c r="H16" s="5">
        <v>1974.0</v>
      </c>
      <c r="I16" s="5" t="s">
        <v>18</v>
      </c>
      <c r="J16" s="5" t="s">
        <v>19</v>
      </c>
    </row>
    <row r="17" ht="15.75" customHeight="1">
      <c r="A17" s="4" t="s">
        <v>579</v>
      </c>
      <c r="B17" s="5" t="s">
        <v>580</v>
      </c>
      <c r="C17" s="5" t="s">
        <v>581</v>
      </c>
      <c r="D17" s="5" t="s">
        <v>582</v>
      </c>
      <c r="E17" s="6"/>
      <c r="F17" s="5">
        <v>9.08905E8</v>
      </c>
      <c r="G17" s="5" t="s">
        <v>17</v>
      </c>
      <c r="H17" s="5">
        <v>1954.0</v>
      </c>
      <c r="I17" s="5" t="s">
        <v>70</v>
      </c>
      <c r="J17" s="5" t="s">
        <v>107</v>
      </c>
    </row>
    <row r="18" ht="15.75" customHeight="1">
      <c r="A18" s="4" t="s">
        <v>583</v>
      </c>
      <c r="B18" s="5" t="s">
        <v>584</v>
      </c>
      <c r="C18" s="5" t="s">
        <v>585</v>
      </c>
      <c r="D18" s="5" t="s">
        <v>586</v>
      </c>
      <c r="E18" s="6"/>
      <c r="F18" s="5">
        <v>9.03229226E8</v>
      </c>
      <c r="G18" s="5" t="s">
        <v>40</v>
      </c>
      <c r="H18" s="5">
        <v>1977.0</v>
      </c>
      <c r="I18" s="5" t="s">
        <v>18</v>
      </c>
      <c r="J18" s="5" t="s">
        <v>86</v>
      </c>
    </row>
    <row r="19" ht="15.75" customHeight="1">
      <c r="A19" s="4" t="s">
        <v>587</v>
      </c>
      <c r="B19" s="5" t="s">
        <v>394</v>
      </c>
      <c r="C19" s="5" t="s">
        <v>588</v>
      </c>
      <c r="D19" s="5" t="s">
        <v>589</v>
      </c>
      <c r="E19" s="6"/>
      <c r="F19" s="5">
        <v>9.06781974E8</v>
      </c>
      <c r="G19" s="5" t="s">
        <v>40</v>
      </c>
      <c r="H19" s="5">
        <v>1974.0</v>
      </c>
      <c r="I19" s="5" t="s">
        <v>18</v>
      </c>
      <c r="J19" s="5" t="s">
        <v>19</v>
      </c>
    </row>
    <row r="20" ht="15.75" customHeight="1">
      <c r="A20" s="4" t="s">
        <v>590</v>
      </c>
      <c r="B20" s="5" t="s">
        <v>591</v>
      </c>
      <c r="C20" s="5" t="s">
        <v>37</v>
      </c>
      <c r="D20" s="5" t="s">
        <v>38</v>
      </c>
      <c r="E20" s="6"/>
      <c r="F20" s="5" t="s">
        <v>39</v>
      </c>
      <c r="G20" s="5" t="s">
        <v>40</v>
      </c>
      <c r="H20" s="5">
        <v>1972.0</v>
      </c>
      <c r="I20" s="5" t="s">
        <v>18</v>
      </c>
      <c r="J20" s="5" t="s">
        <v>19</v>
      </c>
    </row>
    <row r="21" ht="15.75" customHeight="1">
      <c r="A21" s="4" t="s">
        <v>592</v>
      </c>
      <c r="B21" s="5" t="s">
        <v>593</v>
      </c>
      <c r="C21" s="5" t="s">
        <v>594</v>
      </c>
      <c r="D21" s="5" t="s">
        <v>595</v>
      </c>
      <c r="E21" s="5" t="s">
        <v>596</v>
      </c>
      <c r="F21" s="5" t="s">
        <v>597</v>
      </c>
      <c r="G21" s="5" t="s">
        <v>40</v>
      </c>
      <c r="H21" s="5">
        <v>1977.0</v>
      </c>
      <c r="I21" s="5" t="s">
        <v>18</v>
      </c>
      <c r="J21" s="5" t="s">
        <v>19</v>
      </c>
    </row>
    <row r="22" ht="15.75" customHeight="1">
      <c r="A22" s="4" t="s">
        <v>598</v>
      </c>
      <c r="B22" s="5" t="s">
        <v>599</v>
      </c>
      <c r="C22" s="5" t="s">
        <v>600</v>
      </c>
      <c r="D22" s="5" t="s">
        <v>601</v>
      </c>
      <c r="E22" s="5">
        <v>8720.878</v>
      </c>
      <c r="F22" s="5">
        <v>9.09995429E8</v>
      </c>
      <c r="G22" s="5" t="s">
        <v>40</v>
      </c>
      <c r="H22" s="5">
        <v>1973.0</v>
      </c>
      <c r="I22" s="5" t="s">
        <v>18</v>
      </c>
      <c r="J22" s="5" t="s">
        <v>56</v>
      </c>
    </row>
    <row r="23" ht="15.75" customHeight="1">
      <c r="A23" s="4" t="s">
        <v>602</v>
      </c>
      <c r="B23" s="5" t="s">
        <v>603</v>
      </c>
      <c r="C23" s="5" t="s">
        <v>604</v>
      </c>
      <c r="D23" s="6"/>
      <c r="E23" s="6"/>
      <c r="F23" s="5">
        <v>9.33316665E8</v>
      </c>
      <c r="G23" s="5" t="s">
        <v>17</v>
      </c>
      <c r="H23" s="5">
        <v>1951.0</v>
      </c>
      <c r="I23" s="5" t="s">
        <v>18</v>
      </c>
      <c r="J23" s="5" t="s">
        <v>86</v>
      </c>
    </row>
    <row r="24" ht="15.75" customHeight="1">
      <c r="A24" s="4" t="s">
        <v>605</v>
      </c>
      <c r="B24" s="5" t="s">
        <v>606</v>
      </c>
      <c r="C24" s="5" t="s">
        <v>607</v>
      </c>
      <c r="D24" s="5" t="s">
        <v>608</v>
      </c>
      <c r="E24" s="6"/>
      <c r="F24" s="5">
        <v>9.13950897E8</v>
      </c>
      <c r="G24" s="5" t="s">
        <v>17</v>
      </c>
      <c r="H24" s="5">
        <v>1972.0</v>
      </c>
      <c r="I24" s="5" t="s">
        <v>18</v>
      </c>
      <c r="J24" s="5" t="s">
        <v>19</v>
      </c>
    </row>
    <row r="25" ht="15.75" customHeight="1">
      <c r="A25" s="4" t="s">
        <v>609</v>
      </c>
      <c r="B25" s="5" t="s">
        <v>610</v>
      </c>
      <c r="C25" s="5" t="s">
        <v>611</v>
      </c>
      <c r="D25" s="6"/>
      <c r="E25" s="6"/>
      <c r="F25" s="5">
        <v>9.03975822E8</v>
      </c>
      <c r="G25" s="5" t="s">
        <v>17</v>
      </c>
      <c r="H25" s="5">
        <v>1974.0</v>
      </c>
      <c r="I25" s="5" t="s">
        <v>18</v>
      </c>
      <c r="J25" s="5" t="s">
        <v>19</v>
      </c>
    </row>
    <row r="26" ht="15.75" customHeight="1">
      <c r="A26" s="4" t="s">
        <v>612</v>
      </c>
      <c r="B26" s="5" t="s">
        <v>338</v>
      </c>
      <c r="C26" s="5" t="s">
        <v>570</v>
      </c>
      <c r="D26" s="5" t="s">
        <v>571</v>
      </c>
      <c r="E26" s="6"/>
      <c r="F26" s="5">
        <f>125201251</f>
        <v>125201251</v>
      </c>
      <c r="G26" s="5" t="s">
        <v>17</v>
      </c>
      <c r="H26" s="5">
        <v>1951.0</v>
      </c>
      <c r="I26" s="5" t="s">
        <v>70</v>
      </c>
      <c r="J26" s="5" t="s">
        <v>19</v>
      </c>
    </row>
    <row r="27" ht="15.75" customHeight="1">
      <c r="A27" s="4" t="s">
        <v>613</v>
      </c>
      <c r="B27" s="5" t="s">
        <v>614</v>
      </c>
      <c r="C27" s="5" t="s">
        <v>67</v>
      </c>
      <c r="D27" s="5" t="s">
        <v>68</v>
      </c>
      <c r="E27" s="6"/>
      <c r="F27" s="5">
        <f>6596346016</f>
        <v>6596346016</v>
      </c>
      <c r="G27" s="5" t="s">
        <v>17</v>
      </c>
      <c r="H27" s="5">
        <v>1940.0</v>
      </c>
      <c r="I27" s="5" t="s">
        <v>70</v>
      </c>
      <c r="J27" s="5" t="s">
        <v>19</v>
      </c>
    </row>
    <row r="28" ht="15.75" customHeight="1">
      <c r="A28" s="4" t="s">
        <v>615</v>
      </c>
      <c r="B28" s="5" t="s">
        <v>616</v>
      </c>
      <c r="C28" s="5" t="s">
        <v>617</v>
      </c>
      <c r="D28" s="5" t="s">
        <v>618</v>
      </c>
      <c r="E28" s="6"/>
      <c r="F28" s="5">
        <v>9.0816191E8</v>
      </c>
      <c r="G28" s="5" t="s">
        <v>40</v>
      </c>
      <c r="H28" s="5">
        <v>1967.0</v>
      </c>
      <c r="I28" s="5" t="s">
        <v>18</v>
      </c>
      <c r="J28" s="5" t="s">
        <v>86</v>
      </c>
    </row>
    <row r="29" ht="15.75" customHeight="1">
      <c r="A29" s="4" t="s">
        <v>619</v>
      </c>
      <c r="B29" s="5" t="s">
        <v>620</v>
      </c>
      <c r="C29" s="5" t="s">
        <v>67</v>
      </c>
      <c r="D29" s="5" t="s">
        <v>68</v>
      </c>
      <c r="E29" s="6"/>
      <c r="F29" s="5">
        <f>6596346016</f>
        <v>6596346016</v>
      </c>
      <c r="G29" s="5" t="s">
        <v>17</v>
      </c>
      <c r="H29" s="5">
        <v>1940.0</v>
      </c>
      <c r="I29" s="5" t="s">
        <v>70</v>
      </c>
      <c r="J29" s="5" t="s">
        <v>19</v>
      </c>
    </row>
    <row r="30" ht="15.75" customHeight="1">
      <c r="A30" s="4" t="s">
        <v>621</v>
      </c>
      <c r="B30" s="5" t="s">
        <v>622</v>
      </c>
      <c r="C30" s="5" t="s">
        <v>623</v>
      </c>
      <c r="D30" s="5" t="s">
        <v>624</v>
      </c>
      <c r="E30" s="6"/>
      <c r="F30" s="5" t="s">
        <v>625</v>
      </c>
      <c r="G30" s="5" t="s">
        <v>17</v>
      </c>
      <c r="H30" s="5">
        <v>1975.0</v>
      </c>
      <c r="I30" s="5" t="s">
        <v>70</v>
      </c>
      <c r="J30" s="5" t="s">
        <v>19</v>
      </c>
    </row>
    <row r="31" ht="15.75" customHeight="1">
      <c r="A31" s="4" t="s">
        <v>626</v>
      </c>
      <c r="B31" s="5" t="s">
        <v>627</v>
      </c>
      <c r="C31" s="5" t="s">
        <v>79</v>
      </c>
      <c r="D31" s="5" t="s">
        <v>80</v>
      </c>
      <c r="E31" s="5" t="s">
        <v>81</v>
      </c>
      <c r="F31" s="6"/>
      <c r="G31" s="5" t="s">
        <v>17</v>
      </c>
      <c r="H31" s="5">
        <v>1965.0</v>
      </c>
      <c r="I31" s="5" t="s">
        <v>70</v>
      </c>
      <c r="J31" s="5" t="s">
        <v>19</v>
      </c>
    </row>
    <row r="32" ht="15.75" customHeight="1">
      <c r="A32" s="4" t="s">
        <v>628</v>
      </c>
      <c r="B32" s="5" t="s">
        <v>629</v>
      </c>
      <c r="C32" s="5" t="s">
        <v>630</v>
      </c>
      <c r="D32" s="5" t="s">
        <v>631</v>
      </c>
      <c r="E32" s="6"/>
      <c r="F32" s="5">
        <v>9.1383288E8</v>
      </c>
      <c r="G32" s="5" t="s">
        <v>17</v>
      </c>
      <c r="H32" s="5">
        <v>1958.0</v>
      </c>
      <c r="I32" s="5" t="s">
        <v>18</v>
      </c>
      <c r="J32" s="5" t="s">
        <v>56</v>
      </c>
    </row>
    <row r="33" ht="15.75" customHeight="1">
      <c r="A33" s="4" t="s">
        <v>632</v>
      </c>
      <c r="B33" s="5" t="s">
        <v>633</v>
      </c>
      <c r="C33" s="5" t="s">
        <v>634</v>
      </c>
      <c r="D33" s="5" t="s">
        <v>635</v>
      </c>
      <c r="E33" s="5" t="s">
        <v>162</v>
      </c>
      <c r="F33" s="6"/>
      <c r="G33" s="5" t="s">
        <v>17</v>
      </c>
      <c r="H33" s="5">
        <v>1958.0</v>
      </c>
      <c r="I33" s="5" t="s">
        <v>70</v>
      </c>
      <c r="J33" s="5" t="s">
        <v>19</v>
      </c>
    </row>
    <row r="34" ht="15.75" customHeight="1">
      <c r="A34" s="4" t="s">
        <v>636</v>
      </c>
      <c r="B34" s="5" t="s">
        <v>637</v>
      </c>
      <c r="C34" s="5" t="s">
        <v>638</v>
      </c>
      <c r="D34" s="5" t="s">
        <v>639</v>
      </c>
      <c r="E34" s="5" t="s">
        <v>640</v>
      </c>
      <c r="F34" s="6"/>
      <c r="G34" s="5" t="s">
        <v>17</v>
      </c>
      <c r="H34" s="5">
        <v>1967.0</v>
      </c>
      <c r="I34" s="5" t="s">
        <v>70</v>
      </c>
      <c r="J34" s="5" t="s">
        <v>86</v>
      </c>
    </row>
    <row r="35" ht="15.75" customHeight="1">
      <c r="A35" s="4" t="s">
        <v>641</v>
      </c>
      <c r="B35" s="5" t="s">
        <v>642</v>
      </c>
      <c r="C35" s="5" t="s">
        <v>643</v>
      </c>
      <c r="D35" s="5" t="s">
        <v>644</v>
      </c>
      <c r="E35" s="5" t="s">
        <v>645</v>
      </c>
      <c r="F35" s="6"/>
      <c r="G35" s="5" t="s">
        <v>17</v>
      </c>
      <c r="H35" s="5">
        <v>1971.0</v>
      </c>
      <c r="I35" s="5" t="s">
        <v>18</v>
      </c>
      <c r="J35" s="5" t="s">
        <v>19</v>
      </c>
    </row>
    <row r="36" ht="15.75" customHeight="1">
      <c r="A36" s="4" t="s">
        <v>646</v>
      </c>
      <c r="B36" s="5" t="s">
        <v>647</v>
      </c>
      <c r="C36" s="5" t="s">
        <v>648</v>
      </c>
      <c r="D36" s="5" t="s">
        <v>649</v>
      </c>
      <c r="E36" s="6"/>
      <c r="F36" s="5">
        <v>9.08224075E8</v>
      </c>
      <c r="G36" s="5" t="s">
        <v>17</v>
      </c>
      <c r="H36" s="5">
        <v>1976.0</v>
      </c>
      <c r="I36" s="5" t="s">
        <v>70</v>
      </c>
      <c r="J36" s="5" t="s">
        <v>19</v>
      </c>
    </row>
    <row r="37" ht="15.75" customHeight="1">
      <c r="A37" s="4" t="s">
        <v>650</v>
      </c>
      <c r="B37" s="5" t="s">
        <v>651</v>
      </c>
      <c r="C37" s="5" t="s">
        <v>643</v>
      </c>
      <c r="D37" s="5" t="s">
        <v>644</v>
      </c>
      <c r="E37" s="5" t="s">
        <v>645</v>
      </c>
      <c r="F37" s="6"/>
      <c r="G37" s="5" t="s">
        <v>17</v>
      </c>
      <c r="H37" s="5">
        <v>1971.0</v>
      </c>
      <c r="I37" s="5" t="s">
        <v>18</v>
      </c>
      <c r="J37" s="5" t="s">
        <v>19</v>
      </c>
    </row>
    <row r="38" ht="15.75" customHeight="1">
      <c r="A38" s="4" t="s">
        <v>652</v>
      </c>
      <c r="B38" s="5" t="s">
        <v>653</v>
      </c>
      <c r="C38" s="5" t="s">
        <v>654</v>
      </c>
      <c r="D38" s="5" t="s">
        <v>655</v>
      </c>
      <c r="E38" s="6"/>
      <c r="F38" s="5" t="s">
        <v>656</v>
      </c>
      <c r="G38" s="5" t="s">
        <v>40</v>
      </c>
      <c r="H38" s="5">
        <v>1972.0</v>
      </c>
      <c r="I38" s="5" t="s">
        <v>18</v>
      </c>
      <c r="J38" s="5" t="s">
        <v>19</v>
      </c>
    </row>
    <row r="39" ht="15.75" customHeight="1">
      <c r="A39" s="4" t="s">
        <v>657</v>
      </c>
      <c r="B39" s="5" t="s">
        <v>584</v>
      </c>
      <c r="C39" s="5" t="s">
        <v>588</v>
      </c>
      <c r="D39" s="5" t="s">
        <v>589</v>
      </c>
      <c r="E39" s="6"/>
      <c r="F39" s="5">
        <v>9.06781974E8</v>
      </c>
      <c r="G39" s="5" t="s">
        <v>40</v>
      </c>
      <c r="H39" s="5">
        <v>1974.0</v>
      </c>
      <c r="I39" s="5" t="s">
        <v>18</v>
      </c>
      <c r="J39" s="5" t="s">
        <v>19</v>
      </c>
    </row>
    <row r="40" ht="15.75" customHeight="1">
      <c r="A40" s="4" t="s">
        <v>658</v>
      </c>
      <c r="B40" s="5" t="s">
        <v>659</v>
      </c>
      <c r="C40" s="5" t="s">
        <v>660</v>
      </c>
      <c r="D40" s="5" t="s">
        <v>661</v>
      </c>
      <c r="E40" s="6"/>
      <c r="F40" s="5">
        <v>9.03759977E8</v>
      </c>
      <c r="G40" s="5" t="s">
        <v>40</v>
      </c>
      <c r="H40" s="5">
        <v>1945.0</v>
      </c>
      <c r="I40" s="5" t="s">
        <v>18</v>
      </c>
      <c r="J40" s="5" t="s">
        <v>86</v>
      </c>
    </row>
    <row r="41" ht="15.75" customHeight="1">
      <c r="A41" s="4" t="s">
        <v>662</v>
      </c>
      <c r="B41" s="5" t="s">
        <v>663</v>
      </c>
      <c r="C41" s="5" t="s">
        <v>186</v>
      </c>
      <c r="D41" s="5" t="s">
        <v>187</v>
      </c>
      <c r="E41" s="5">
        <v>3823.3346</v>
      </c>
      <c r="F41" s="5">
        <v>9.03827979E8</v>
      </c>
      <c r="G41" s="5" t="s">
        <v>17</v>
      </c>
      <c r="H41" s="5">
        <v>0.0</v>
      </c>
      <c r="I41" s="5" t="s">
        <v>188</v>
      </c>
      <c r="J41" s="5" t="s">
        <v>19</v>
      </c>
    </row>
    <row r="42" ht="15.75" customHeight="1">
      <c r="A42" s="4" t="s">
        <v>664</v>
      </c>
      <c r="B42" s="5" t="s">
        <v>665</v>
      </c>
      <c r="C42" s="5" t="s">
        <v>666</v>
      </c>
      <c r="D42" s="5" t="s">
        <v>199</v>
      </c>
      <c r="E42" s="5" t="s">
        <v>667</v>
      </c>
      <c r="F42" s="5">
        <v>9.03778787E8</v>
      </c>
      <c r="G42" s="5" t="s">
        <v>40</v>
      </c>
      <c r="H42" s="5">
        <v>1946.0</v>
      </c>
      <c r="I42" s="5" t="s">
        <v>18</v>
      </c>
      <c r="J42" s="5" t="s">
        <v>19</v>
      </c>
    </row>
    <row r="43" ht="15.75" customHeight="1">
      <c r="A43" s="4" t="s">
        <v>668</v>
      </c>
      <c r="B43" s="5" t="s">
        <v>669</v>
      </c>
      <c r="C43" s="5" t="s">
        <v>186</v>
      </c>
      <c r="D43" s="5" t="s">
        <v>187</v>
      </c>
      <c r="E43" s="5">
        <v>3823.3346</v>
      </c>
      <c r="F43" s="5">
        <v>9.03827979E8</v>
      </c>
      <c r="G43" s="5" t="s">
        <v>17</v>
      </c>
      <c r="H43" s="5">
        <v>0.0</v>
      </c>
      <c r="I43" s="5" t="s">
        <v>188</v>
      </c>
      <c r="J43" s="5" t="s">
        <v>19</v>
      </c>
    </row>
    <row r="44" ht="15.75" customHeight="1">
      <c r="A44" s="4" t="s">
        <v>670</v>
      </c>
      <c r="B44" s="5" t="s">
        <v>671</v>
      </c>
      <c r="C44" s="5" t="s">
        <v>672</v>
      </c>
      <c r="D44" s="6"/>
      <c r="E44" s="6"/>
      <c r="F44" s="5">
        <v>9.03468288E8</v>
      </c>
      <c r="G44" s="5" t="s">
        <v>17</v>
      </c>
      <c r="H44" s="5">
        <v>1955.0</v>
      </c>
      <c r="I44" s="5" t="s">
        <v>18</v>
      </c>
      <c r="J44" s="5" t="s">
        <v>19</v>
      </c>
    </row>
    <row r="45" ht="15.75" customHeight="1">
      <c r="A45" s="4" t="s">
        <v>673</v>
      </c>
      <c r="B45" s="5" t="s">
        <v>674</v>
      </c>
      <c r="C45" s="5" t="s">
        <v>151</v>
      </c>
      <c r="D45" s="5" t="s">
        <v>152</v>
      </c>
      <c r="E45" s="6"/>
      <c r="F45" s="5" t="s">
        <v>153</v>
      </c>
      <c r="G45" s="5" t="s">
        <v>40</v>
      </c>
      <c r="H45" s="5">
        <v>1979.0</v>
      </c>
      <c r="I45" s="5" t="s">
        <v>18</v>
      </c>
      <c r="J45" s="5" t="s">
        <v>19</v>
      </c>
    </row>
    <row r="46" ht="15.75" customHeight="1">
      <c r="A46" s="4" t="s">
        <v>675</v>
      </c>
      <c r="B46" s="5" t="s">
        <v>676</v>
      </c>
      <c r="C46" s="5" t="s">
        <v>677</v>
      </c>
      <c r="D46" s="5" t="s">
        <v>678</v>
      </c>
      <c r="E46" s="5" t="s">
        <v>679</v>
      </c>
      <c r="F46" s="5" t="s">
        <v>680</v>
      </c>
      <c r="G46" s="5" t="s">
        <v>17</v>
      </c>
      <c r="H46" s="5">
        <v>1968.0</v>
      </c>
      <c r="I46" s="5" t="s">
        <v>70</v>
      </c>
      <c r="J46" s="5" t="s">
        <v>19</v>
      </c>
    </row>
    <row r="47" ht="15.75" customHeight="1">
      <c r="A47" s="4" t="s">
        <v>681</v>
      </c>
      <c r="B47" s="5" t="s">
        <v>682</v>
      </c>
      <c r="C47" s="5" t="s">
        <v>186</v>
      </c>
      <c r="D47" s="5" t="s">
        <v>187</v>
      </c>
      <c r="E47" s="5">
        <v>3823.3346</v>
      </c>
      <c r="F47" s="5">
        <v>9.03827979E8</v>
      </c>
      <c r="G47" s="5" t="s">
        <v>17</v>
      </c>
      <c r="H47" s="5">
        <v>0.0</v>
      </c>
      <c r="I47" s="5" t="s">
        <v>188</v>
      </c>
      <c r="J47" s="5" t="s">
        <v>19</v>
      </c>
    </row>
    <row r="48" ht="15.75" customHeight="1">
      <c r="A48" s="4" t="s">
        <v>683</v>
      </c>
      <c r="B48" s="5" t="s">
        <v>684</v>
      </c>
      <c r="C48" s="5" t="s">
        <v>666</v>
      </c>
      <c r="D48" s="5" t="s">
        <v>199</v>
      </c>
      <c r="E48" s="5" t="s">
        <v>667</v>
      </c>
      <c r="F48" s="5">
        <v>9.03778787E8</v>
      </c>
      <c r="G48" s="5" t="s">
        <v>40</v>
      </c>
      <c r="H48" s="5">
        <v>1946.0</v>
      </c>
      <c r="I48" s="5" t="s">
        <v>18</v>
      </c>
      <c r="J48" s="5" t="s">
        <v>19</v>
      </c>
    </row>
    <row r="49" ht="15.75" customHeight="1">
      <c r="A49" s="4" t="s">
        <v>685</v>
      </c>
      <c r="B49" s="5" t="s">
        <v>686</v>
      </c>
      <c r="C49" s="5" t="s">
        <v>186</v>
      </c>
      <c r="D49" s="5" t="s">
        <v>187</v>
      </c>
      <c r="E49" s="5">
        <v>3823.3346</v>
      </c>
      <c r="F49" s="5">
        <v>9.03827979E8</v>
      </c>
      <c r="G49" s="5" t="s">
        <v>17</v>
      </c>
      <c r="H49" s="5">
        <v>0.0</v>
      </c>
      <c r="I49" s="5" t="s">
        <v>188</v>
      </c>
      <c r="J49" s="5" t="s">
        <v>19</v>
      </c>
    </row>
    <row r="50" ht="15.75" customHeight="1">
      <c r="A50" s="4" t="s">
        <v>687</v>
      </c>
      <c r="B50" s="5" t="s">
        <v>688</v>
      </c>
      <c r="C50" s="5" t="s">
        <v>689</v>
      </c>
      <c r="D50" s="5" t="s">
        <v>690</v>
      </c>
      <c r="E50" s="6"/>
      <c r="F50" s="5" t="s">
        <v>691</v>
      </c>
      <c r="G50" s="5" t="s">
        <v>17</v>
      </c>
      <c r="H50" s="5">
        <v>1977.0</v>
      </c>
      <c r="I50" s="5" t="s">
        <v>70</v>
      </c>
      <c r="J50" s="5" t="s">
        <v>107</v>
      </c>
    </row>
    <row r="51" ht="15.75" customHeight="1">
      <c r="A51" s="4" t="s">
        <v>692</v>
      </c>
      <c r="B51" s="5" t="s">
        <v>693</v>
      </c>
      <c r="C51" s="5" t="s">
        <v>412</v>
      </c>
      <c r="D51" s="5" t="s">
        <v>413</v>
      </c>
      <c r="E51" s="6"/>
      <c r="F51" s="5">
        <f>85290221811</f>
        <v>85290221811</v>
      </c>
      <c r="G51" s="5" t="s">
        <v>40</v>
      </c>
      <c r="H51" s="5">
        <v>1951.0</v>
      </c>
      <c r="I51" s="5" t="s">
        <v>70</v>
      </c>
      <c r="J51" s="5" t="s">
        <v>19</v>
      </c>
    </row>
    <row r="52" ht="15.75" customHeight="1">
      <c r="A52" s="4" t="s">
        <v>694</v>
      </c>
      <c r="B52" s="5" t="s">
        <v>695</v>
      </c>
      <c r="C52" s="5" t="s">
        <v>696</v>
      </c>
      <c r="D52" s="5" t="s">
        <v>697</v>
      </c>
      <c r="E52" s="6"/>
      <c r="F52" s="5">
        <v>9.0392502E8</v>
      </c>
      <c r="G52" s="5" t="s">
        <v>17</v>
      </c>
      <c r="H52" s="5">
        <v>1953.0</v>
      </c>
      <c r="I52" s="5" t="s">
        <v>70</v>
      </c>
      <c r="J52" s="5" t="s">
        <v>19</v>
      </c>
    </row>
    <row r="53" ht="15.75" customHeight="1">
      <c r="A53" s="4" t="s">
        <v>698</v>
      </c>
      <c r="B53" s="5" t="s">
        <v>699</v>
      </c>
      <c r="C53" s="5" t="s">
        <v>428</v>
      </c>
      <c r="D53" s="5" t="s">
        <v>429</v>
      </c>
      <c r="E53" s="6"/>
      <c r="F53" s="5">
        <v>9.88530039E8</v>
      </c>
      <c r="G53" s="5" t="s">
        <v>40</v>
      </c>
      <c r="H53" s="5">
        <v>1962.0</v>
      </c>
      <c r="I53" s="5" t="s">
        <v>18</v>
      </c>
      <c r="J53" s="5" t="s">
        <v>19</v>
      </c>
    </row>
    <row r="54" ht="15.75" customHeight="1">
      <c r="A54" s="4" t="s">
        <v>700</v>
      </c>
      <c r="B54" s="5" t="s">
        <v>701</v>
      </c>
      <c r="C54" s="5" t="s">
        <v>186</v>
      </c>
      <c r="D54" s="5" t="s">
        <v>187</v>
      </c>
      <c r="E54" s="5">
        <v>3823.3346</v>
      </c>
      <c r="F54" s="5">
        <v>9.03827979E8</v>
      </c>
      <c r="G54" s="5" t="s">
        <v>17</v>
      </c>
      <c r="H54" s="5">
        <v>0.0</v>
      </c>
      <c r="I54" s="5" t="s">
        <v>188</v>
      </c>
      <c r="J54" s="5" t="s">
        <v>19</v>
      </c>
    </row>
    <row r="55" ht="15.75" customHeight="1">
      <c r="A55" s="4" t="s">
        <v>702</v>
      </c>
      <c r="B55" s="5" t="s">
        <v>703</v>
      </c>
      <c r="C55" s="5" t="s">
        <v>704</v>
      </c>
      <c r="D55" s="5" t="s">
        <v>705</v>
      </c>
      <c r="E55" s="6"/>
      <c r="F55" s="5">
        <v>9.0821455E8</v>
      </c>
      <c r="G55" s="5" t="s">
        <v>17</v>
      </c>
      <c r="H55" s="5">
        <v>1958.0</v>
      </c>
      <c r="I55" s="5" t="s">
        <v>70</v>
      </c>
      <c r="J55" s="5" t="s">
        <v>56</v>
      </c>
    </row>
    <row r="56" ht="15.75" customHeight="1">
      <c r="A56" s="4" t="s">
        <v>706</v>
      </c>
      <c r="B56" s="5" t="s">
        <v>707</v>
      </c>
      <c r="C56" s="5" t="s">
        <v>708</v>
      </c>
      <c r="D56" s="5" t="s">
        <v>709</v>
      </c>
      <c r="E56" s="6"/>
      <c r="F56" s="5" t="s">
        <v>710</v>
      </c>
      <c r="G56" s="5" t="s">
        <v>17</v>
      </c>
      <c r="H56" s="5">
        <v>1978.0</v>
      </c>
      <c r="I56" s="5" t="s">
        <v>18</v>
      </c>
      <c r="J56" s="5" t="s">
        <v>19</v>
      </c>
    </row>
    <row r="57" ht="15.75" customHeight="1">
      <c r="A57" s="4" t="s">
        <v>711</v>
      </c>
      <c r="B57" s="5" t="s">
        <v>712</v>
      </c>
      <c r="C57" s="5" t="s">
        <v>67</v>
      </c>
      <c r="D57" s="5" t="s">
        <v>68</v>
      </c>
      <c r="E57" s="6"/>
      <c r="F57" s="5">
        <f>6596346016</f>
        <v>6596346016</v>
      </c>
      <c r="G57" s="5" t="s">
        <v>17</v>
      </c>
      <c r="H57" s="5">
        <v>1940.0</v>
      </c>
      <c r="I57" s="5" t="s">
        <v>70</v>
      </c>
      <c r="J57" s="5" t="s">
        <v>19</v>
      </c>
    </row>
    <row r="58" ht="15.75" customHeight="1">
      <c r="A58" s="4" t="s">
        <v>713</v>
      </c>
      <c r="B58" s="5" t="s">
        <v>714</v>
      </c>
      <c r="C58" s="5" t="s">
        <v>581</v>
      </c>
      <c r="D58" s="5" t="s">
        <v>582</v>
      </c>
      <c r="E58" s="6"/>
      <c r="F58" s="5">
        <v>9.08905E8</v>
      </c>
      <c r="G58" s="5" t="s">
        <v>17</v>
      </c>
      <c r="H58" s="5">
        <v>1954.0</v>
      </c>
      <c r="I58" s="5" t="s">
        <v>70</v>
      </c>
      <c r="J58" s="5" t="s">
        <v>19</v>
      </c>
    </row>
    <row r="59" ht="15.75" customHeight="1">
      <c r="A59" s="4" t="s">
        <v>715</v>
      </c>
      <c r="B59" s="5" t="s">
        <v>716</v>
      </c>
      <c r="C59" s="5" t="s">
        <v>717</v>
      </c>
      <c r="D59" s="5" t="s">
        <v>718</v>
      </c>
      <c r="E59" s="6"/>
      <c r="F59" s="5" t="s">
        <v>719</v>
      </c>
      <c r="G59" s="5" t="s">
        <v>40</v>
      </c>
      <c r="H59" s="5">
        <v>1974.0</v>
      </c>
      <c r="I59" s="5" t="s">
        <v>18</v>
      </c>
      <c r="J59" s="5" t="s">
        <v>86</v>
      </c>
    </row>
    <row r="60" ht="15.75" customHeight="1">
      <c r="A60" s="4" t="s">
        <v>720</v>
      </c>
      <c r="B60" s="5" t="s">
        <v>721</v>
      </c>
      <c r="C60" s="5" t="s">
        <v>722</v>
      </c>
      <c r="D60" s="5" t="s">
        <v>723</v>
      </c>
      <c r="E60" s="5">
        <v>4120405.0</v>
      </c>
      <c r="F60" s="5">
        <v>9.07671E8</v>
      </c>
      <c r="G60" s="5" t="s">
        <v>17</v>
      </c>
      <c r="H60" s="5">
        <v>1977.0</v>
      </c>
      <c r="I60" s="5" t="s">
        <v>70</v>
      </c>
      <c r="J60" s="5" t="s">
        <v>19</v>
      </c>
    </row>
    <row r="61" ht="15.75" customHeight="1">
      <c r="A61" s="4" t="s">
        <v>724</v>
      </c>
      <c r="B61" s="5" t="s">
        <v>246</v>
      </c>
      <c r="C61" s="5" t="s">
        <v>268</v>
      </c>
      <c r="D61" s="5" t="s">
        <v>269</v>
      </c>
      <c r="E61" s="6"/>
      <c r="F61" s="5" t="s">
        <v>270</v>
      </c>
      <c r="G61" s="5" t="s">
        <v>40</v>
      </c>
      <c r="H61" s="5">
        <v>1970.0</v>
      </c>
      <c r="I61" s="5" t="s">
        <v>18</v>
      </c>
      <c r="J61" s="5" t="s">
        <v>56</v>
      </c>
    </row>
    <row r="62" ht="15.75" customHeight="1">
      <c r="A62" s="4" t="s">
        <v>725</v>
      </c>
      <c r="B62" s="5" t="s">
        <v>726</v>
      </c>
      <c r="C62" s="5" t="s">
        <v>727</v>
      </c>
      <c r="D62" s="5" t="s">
        <v>728</v>
      </c>
      <c r="E62" s="6"/>
      <c r="F62" s="5">
        <v>9.08589998E8</v>
      </c>
      <c r="G62" s="5" t="s">
        <v>17</v>
      </c>
      <c r="H62" s="5">
        <v>1965.0</v>
      </c>
      <c r="I62" s="5" t="s">
        <v>70</v>
      </c>
      <c r="J62" s="5" t="s">
        <v>86</v>
      </c>
    </row>
    <row r="63" ht="15.75" customHeight="1">
      <c r="A63" s="4" t="s">
        <v>729</v>
      </c>
      <c r="B63" s="5" t="s">
        <v>730</v>
      </c>
      <c r="C63" s="5" t="s">
        <v>731</v>
      </c>
      <c r="D63" s="6"/>
      <c r="E63" s="6"/>
      <c r="F63" s="5">
        <v>9.18141444E8</v>
      </c>
      <c r="G63" s="5" t="s">
        <v>40</v>
      </c>
      <c r="H63" s="5">
        <v>1972.0</v>
      </c>
      <c r="I63" s="5" t="s">
        <v>18</v>
      </c>
      <c r="J63" s="5" t="s">
        <v>56</v>
      </c>
    </row>
    <row r="64" ht="15.75" customHeight="1">
      <c r="A64" s="4" t="s">
        <v>732</v>
      </c>
      <c r="B64" s="5" t="s">
        <v>733</v>
      </c>
      <c r="C64" s="5" t="s">
        <v>734</v>
      </c>
      <c r="D64" s="5" t="s">
        <v>735</v>
      </c>
      <c r="E64" s="5" t="s">
        <v>736</v>
      </c>
      <c r="F64" s="5" t="s">
        <v>737</v>
      </c>
      <c r="G64" s="5" t="s">
        <v>17</v>
      </c>
      <c r="H64" s="5">
        <v>1965.0</v>
      </c>
      <c r="I64" s="5" t="s">
        <v>18</v>
      </c>
      <c r="J64" s="5" t="s">
        <v>212</v>
      </c>
    </row>
    <row r="65" ht="15.75" customHeight="1">
      <c r="A65" s="4" t="s">
        <v>738</v>
      </c>
      <c r="B65" s="5" t="s">
        <v>739</v>
      </c>
      <c r="C65" s="5" t="s">
        <v>740</v>
      </c>
      <c r="D65" s="5" t="s">
        <v>741</v>
      </c>
      <c r="E65" s="6"/>
      <c r="F65" s="5">
        <v>9.32168885E8</v>
      </c>
      <c r="G65" s="5" t="s">
        <v>40</v>
      </c>
      <c r="H65" s="5">
        <v>1977.0</v>
      </c>
      <c r="I65" s="5" t="s">
        <v>18</v>
      </c>
      <c r="J65" s="5" t="s">
        <v>107</v>
      </c>
    </row>
    <row r="66" ht="15.75" customHeight="1">
      <c r="A66" s="4" t="s">
        <v>742</v>
      </c>
      <c r="B66" s="5" t="s">
        <v>743</v>
      </c>
      <c r="C66" s="5" t="s">
        <v>744</v>
      </c>
      <c r="D66" s="5" t="s">
        <v>745</v>
      </c>
      <c r="E66" s="6"/>
      <c r="F66" s="5">
        <f>85225438428</f>
        <v>85225438428</v>
      </c>
      <c r="G66" s="5" t="s">
        <v>17</v>
      </c>
      <c r="H66" s="5">
        <v>1950.0</v>
      </c>
      <c r="I66" s="5" t="s">
        <v>70</v>
      </c>
      <c r="J66" s="5" t="s">
        <v>19</v>
      </c>
    </row>
    <row r="67" ht="15.75" customHeight="1">
      <c r="A67" s="4" t="s">
        <v>746</v>
      </c>
      <c r="B67" s="5" t="s">
        <v>747</v>
      </c>
      <c r="C67" s="5" t="s">
        <v>748</v>
      </c>
      <c r="D67" s="5" t="s">
        <v>749</v>
      </c>
      <c r="E67" s="6"/>
      <c r="F67" s="5" t="s">
        <v>750</v>
      </c>
      <c r="G67" s="5" t="s">
        <v>17</v>
      </c>
      <c r="H67" s="5">
        <v>1976.0</v>
      </c>
      <c r="I67" s="5" t="s">
        <v>70</v>
      </c>
      <c r="J67" s="5" t="s">
        <v>41</v>
      </c>
    </row>
    <row r="68" ht="15.75" customHeight="1">
      <c r="A68" s="4" t="s">
        <v>751</v>
      </c>
      <c r="B68" s="5" t="s">
        <v>752</v>
      </c>
      <c r="C68" s="5" t="s">
        <v>753</v>
      </c>
      <c r="D68" s="6"/>
      <c r="E68" s="6"/>
      <c r="F68" s="5" t="s">
        <v>754</v>
      </c>
      <c r="G68" s="5" t="s">
        <v>40</v>
      </c>
      <c r="H68" s="5">
        <v>0.0</v>
      </c>
      <c r="I68" s="5" t="s">
        <v>18</v>
      </c>
      <c r="J68" s="5" t="s">
        <v>19</v>
      </c>
    </row>
    <row r="69" ht="15.75" customHeight="1">
      <c r="A69" s="4" t="s">
        <v>755</v>
      </c>
      <c r="B69" s="5" t="s">
        <v>205</v>
      </c>
      <c r="C69" s="5" t="s">
        <v>756</v>
      </c>
      <c r="D69" s="6"/>
      <c r="E69" s="6"/>
      <c r="F69" s="5">
        <v>9.09888686E8</v>
      </c>
      <c r="G69" s="5" t="s">
        <v>40</v>
      </c>
      <c r="H69" s="5">
        <v>1976.0</v>
      </c>
      <c r="I69" s="5" t="s">
        <v>18</v>
      </c>
      <c r="J69" s="5" t="s">
        <v>19</v>
      </c>
    </row>
    <row r="70" ht="15.75" customHeight="1">
      <c r="A70" s="4" t="s">
        <v>757</v>
      </c>
      <c r="B70" s="5" t="s">
        <v>758</v>
      </c>
      <c r="C70" s="5" t="s">
        <v>759</v>
      </c>
      <c r="D70" s="5" t="s">
        <v>760</v>
      </c>
      <c r="E70" s="6"/>
      <c r="F70" s="5">
        <v>9.03908493E8</v>
      </c>
      <c r="G70" s="5" t="s">
        <v>40</v>
      </c>
      <c r="H70" s="5">
        <v>1957.0</v>
      </c>
      <c r="I70" s="5" t="s">
        <v>18</v>
      </c>
      <c r="J70" s="5" t="s">
        <v>86</v>
      </c>
    </row>
    <row r="71" ht="15.75" customHeight="1">
      <c r="A71" s="4" t="s">
        <v>761</v>
      </c>
      <c r="B71" s="5" t="s">
        <v>762</v>
      </c>
      <c r="C71" s="5" t="s">
        <v>756</v>
      </c>
      <c r="D71" s="6"/>
      <c r="E71" s="6"/>
      <c r="F71" s="5">
        <v>9.09888686E8</v>
      </c>
      <c r="G71" s="5" t="s">
        <v>40</v>
      </c>
      <c r="H71" s="5">
        <v>1976.0</v>
      </c>
      <c r="I71" s="5" t="s">
        <v>18</v>
      </c>
      <c r="J71" s="5" t="s">
        <v>56</v>
      </c>
    </row>
    <row r="72" ht="15.75" customHeight="1">
      <c r="A72" s="4" t="s">
        <v>763</v>
      </c>
      <c r="B72" s="5" t="s">
        <v>764</v>
      </c>
      <c r="C72" s="5" t="s">
        <v>765</v>
      </c>
      <c r="D72" s="5" t="s">
        <v>766</v>
      </c>
      <c r="E72" s="6"/>
      <c r="F72" s="5">
        <v>9.08847307E8</v>
      </c>
      <c r="G72" s="5" t="s">
        <v>17</v>
      </c>
      <c r="H72" s="5">
        <v>1973.0</v>
      </c>
      <c r="I72" s="5" t="s">
        <v>70</v>
      </c>
      <c r="J72" s="5" t="s">
        <v>19</v>
      </c>
    </row>
    <row r="73" ht="15.75" customHeight="1">
      <c r="A73" s="4" t="s">
        <v>767</v>
      </c>
      <c r="B73" s="5" t="s">
        <v>214</v>
      </c>
      <c r="C73" s="5" t="s">
        <v>268</v>
      </c>
      <c r="D73" s="5" t="s">
        <v>269</v>
      </c>
      <c r="E73" s="6"/>
      <c r="F73" s="5" t="s">
        <v>270</v>
      </c>
      <c r="G73" s="5" t="s">
        <v>40</v>
      </c>
      <c r="H73" s="5">
        <v>1970.0</v>
      </c>
      <c r="I73" s="5" t="s">
        <v>18</v>
      </c>
      <c r="J73" s="5" t="s">
        <v>56</v>
      </c>
    </row>
    <row r="74" ht="15.75" customHeight="1">
      <c r="A74" s="4" t="s">
        <v>768</v>
      </c>
      <c r="B74" s="5" t="s">
        <v>769</v>
      </c>
      <c r="C74" s="5" t="s">
        <v>634</v>
      </c>
      <c r="D74" s="5" t="s">
        <v>635</v>
      </c>
      <c r="E74" s="5" t="s">
        <v>162</v>
      </c>
      <c r="F74" s="6"/>
      <c r="G74" s="5" t="s">
        <v>17</v>
      </c>
      <c r="H74" s="5">
        <v>1958.0</v>
      </c>
      <c r="I74" s="5" t="s">
        <v>70</v>
      </c>
      <c r="J74" s="5" t="s">
        <v>19</v>
      </c>
    </row>
    <row r="75" ht="15.75" customHeight="1">
      <c r="A75" s="4" t="s">
        <v>770</v>
      </c>
      <c r="B75" s="5" t="s">
        <v>771</v>
      </c>
      <c r="C75" s="5" t="s">
        <v>772</v>
      </c>
      <c r="D75" s="5" t="s">
        <v>773</v>
      </c>
      <c r="E75" s="6"/>
      <c r="F75" s="5">
        <v>9.09888668E8</v>
      </c>
      <c r="G75" s="5" t="s">
        <v>17</v>
      </c>
      <c r="H75" s="5">
        <v>1973.0</v>
      </c>
      <c r="I75" s="5" t="s">
        <v>18</v>
      </c>
      <c r="J75" s="5" t="s">
        <v>107</v>
      </c>
    </row>
    <row r="76" ht="15.75" customHeight="1">
      <c r="A76" s="4" t="s">
        <v>774</v>
      </c>
      <c r="B76" s="5" t="s">
        <v>775</v>
      </c>
      <c r="C76" s="5" t="s">
        <v>776</v>
      </c>
      <c r="D76" s="5" t="s">
        <v>777</v>
      </c>
      <c r="E76" s="5" t="s">
        <v>162</v>
      </c>
      <c r="F76" s="5">
        <v>9.08933739E8</v>
      </c>
      <c r="G76" s="5" t="s">
        <v>40</v>
      </c>
      <c r="H76" s="5">
        <v>1968.0</v>
      </c>
      <c r="I76" s="5" t="s">
        <v>18</v>
      </c>
      <c r="J76" s="5" t="s">
        <v>107</v>
      </c>
    </row>
    <row r="77" ht="15.75" customHeight="1">
      <c r="A77" s="4" t="s">
        <v>778</v>
      </c>
      <c r="B77" s="5" t="s">
        <v>779</v>
      </c>
      <c r="C77" s="5" t="s">
        <v>780</v>
      </c>
      <c r="D77" s="5" t="s">
        <v>781</v>
      </c>
      <c r="E77" s="6"/>
      <c r="F77" s="5" t="s">
        <v>782</v>
      </c>
      <c r="G77" s="5" t="s">
        <v>40</v>
      </c>
      <c r="H77" s="5">
        <v>1975.0</v>
      </c>
      <c r="I77" s="5" t="s">
        <v>18</v>
      </c>
      <c r="J77" s="5" t="s">
        <v>783</v>
      </c>
    </row>
    <row r="78" ht="15.75" customHeight="1">
      <c r="A78" s="4" t="s">
        <v>784</v>
      </c>
      <c r="B78" s="5" t="s">
        <v>785</v>
      </c>
      <c r="C78" s="5" t="s">
        <v>786</v>
      </c>
      <c r="D78" s="5" t="s">
        <v>766</v>
      </c>
      <c r="E78" s="6"/>
      <c r="F78" s="5">
        <v>9.55017697E8</v>
      </c>
      <c r="G78" s="5" t="s">
        <v>17</v>
      </c>
      <c r="H78" s="5">
        <v>1959.0</v>
      </c>
      <c r="I78" s="5" t="s">
        <v>70</v>
      </c>
      <c r="J78" s="5" t="s">
        <v>19</v>
      </c>
    </row>
    <row r="79" ht="15.75" customHeight="1">
      <c r="A79" s="4" t="s">
        <v>787</v>
      </c>
      <c r="B79" s="5" t="s">
        <v>788</v>
      </c>
      <c r="C79" s="5" t="s">
        <v>789</v>
      </c>
      <c r="D79" s="5" t="s">
        <v>790</v>
      </c>
      <c r="E79" s="6"/>
      <c r="F79" s="5" t="s">
        <v>791</v>
      </c>
      <c r="G79" s="5" t="s">
        <v>40</v>
      </c>
      <c r="H79" s="5">
        <v>1985.0</v>
      </c>
      <c r="I79" s="5" t="s">
        <v>18</v>
      </c>
      <c r="J79" s="5" t="s">
        <v>226</v>
      </c>
    </row>
    <row r="80" ht="15.75" customHeight="1">
      <c r="A80" s="4" t="s">
        <v>792</v>
      </c>
      <c r="B80" s="5" t="s">
        <v>793</v>
      </c>
      <c r="C80" s="5" t="s">
        <v>794</v>
      </c>
      <c r="D80" s="6"/>
      <c r="E80" s="5" t="s">
        <v>795</v>
      </c>
      <c r="F80" s="5">
        <v>9.1380147E8</v>
      </c>
      <c r="G80" s="5" t="s">
        <v>17</v>
      </c>
      <c r="H80" s="5">
        <v>1967.0</v>
      </c>
      <c r="I80" s="5" t="s">
        <v>18</v>
      </c>
      <c r="J80" s="5" t="s">
        <v>41</v>
      </c>
    </row>
    <row r="81" ht="15.75" customHeight="1">
      <c r="A81" s="4" t="s">
        <v>796</v>
      </c>
      <c r="B81" s="5" t="s">
        <v>797</v>
      </c>
      <c r="C81" s="5" t="s">
        <v>798</v>
      </c>
      <c r="D81" s="5" t="s">
        <v>799</v>
      </c>
      <c r="E81" s="6"/>
      <c r="F81" s="5">
        <v>9.15199999E8</v>
      </c>
      <c r="G81" s="5" t="s">
        <v>40</v>
      </c>
      <c r="H81" s="5">
        <v>1972.0</v>
      </c>
      <c r="I81" s="5" t="s">
        <v>18</v>
      </c>
      <c r="J81" s="5" t="s">
        <v>19</v>
      </c>
    </row>
    <row r="82" ht="15.75" customHeight="1">
      <c r="A82" s="4" t="s">
        <v>800</v>
      </c>
      <c r="B82" s="5" t="s">
        <v>801</v>
      </c>
      <c r="C82" s="5" t="s">
        <v>802</v>
      </c>
      <c r="D82" s="5" t="s">
        <v>803</v>
      </c>
      <c r="E82" s="6"/>
      <c r="F82" s="5">
        <v>9.89118118E8</v>
      </c>
      <c r="G82" s="5" t="s">
        <v>17</v>
      </c>
      <c r="H82" s="5">
        <v>1969.0</v>
      </c>
      <c r="I82" s="5" t="s">
        <v>18</v>
      </c>
      <c r="J82" s="5" t="s">
        <v>86</v>
      </c>
    </row>
    <row r="83" ht="15.75" customHeight="1">
      <c r="A83" s="4" t="s">
        <v>804</v>
      </c>
      <c r="B83" s="5" t="s">
        <v>805</v>
      </c>
      <c r="C83" s="5" t="s">
        <v>806</v>
      </c>
      <c r="D83" s="5" t="s">
        <v>807</v>
      </c>
      <c r="E83" s="6"/>
      <c r="F83" s="5">
        <v>9.88684468E8</v>
      </c>
      <c r="G83" s="5" t="s">
        <v>40</v>
      </c>
      <c r="H83" s="5">
        <v>1968.0</v>
      </c>
      <c r="I83" s="5" t="s">
        <v>18</v>
      </c>
      <c r="J83" s="5" t="s">
        <v>86</v>
      </c>
    </row>
    <row r="84" ht="15.75" customHeight="1">
      <c r="A84" s="4" t="s">
        <v>808</v>
      </c>
      <c r="B84" s="5" t="s">
        <v>809</v>
      </c>
      <c r="C84" s="5" t="s">
        <v>604</v>
      </c>
      <c r="D84" s="6"/>
      <c r="E84" s="6"/>
      <c r="F84" s="5">
        <v>9.33316665E8</v>
      </c>
      <c r="G84" s="5" t="s">
        <v>17</v>
      </c>
      <c r="H84" s="5">
        <v>1951.0</v>
      </c>
      <c r="I84" s="5" t="s">
        <v>18</v>
      </c>
      <c r="J84" s="5" t="s">
        <v>86</v>
      </c>
    </row>
    <row r="85" ht="15.75" customHeight="1">
      <c r="A85" s="4" t="s">
        <v>810</v>
      </c>
      <c r="B85" s="5" t="s">
        <v>811</v>
      </c>
      <c r="C85" s="5" t="s">
        <v>812</v>
      </c>
      <c r="D85" s="5" t="s">
        <v>813</v>
      </c>
      <c r="E85" s="5" t="s">
        <v>814</v>
      </c>
      <c r="F85" s="5" t="s">
        <v>815</v>
      </c>
      <c r="G85" s="5" t="s">
        <v>40</v>
      </c>
      <c r="H85" s="5">
        <v>1961.0</v>
      </c>
      <c r="I85" s="5" t="s">
        <v>18</v>
      </c>
      <c r="J85" s="5" t="s">
        <v>19</v>
      </c>
    </row>
    <row r="86" ht="15.75" customHeight="1">
      <c r="A86" s="4" t="s">
        <v>816</v>
      </c>
      <c r="B86" s="5" t="s">
        <v>817</v>
      </c>
      <c r="C86" s="5" t="s">
        <v>818</v>
      </c>
      <c r="D86" s="5" t="s">
        <v>819</v>
      </c>
      <c r="E86" s="6"/>
      <c r="F86" s="5">
        <v>9.07287198E8</v>
      </c>
      <c r="G86" s="5" t="s">
        <v>17</v>
      </c>
      <c r="H86" s="5">
        <v>1951.0</v>
      </c>
      <c r="I86" s="5" t="s">
        <v>70</v>
      </c>
      <c r="J86" s="5" t="s">
        <v>212</v>
      </c>
    </row>
    <row r="87" ht="15.75" customHeight="1">
      <c r="A87" s="4" t="s">
        <v>820</v>
      </c>
      <c r="B87" s="5" t="s">
        <v>821</v>
      </c>
      <c r="C87" s="5" t="s">
        <v>822</v>
      </c>
      <c r="D87" s="6"/>
      <c r="E87" s="6"/>
      <c r="F87" s="5">
        <v>9.03996789E8</v>
      </c>
      <c r="G87" s="5" t="s">
        <v>40</v>
      </c>
      <c r="H87" s="5">
        <v>1971.0</v>
      </c>
      <c r="I87" s="5" t="s">
        <v>18</v>
      </c>
      <c r="J87" s="5" t="s">
        <v>19</v>
      </c>
    </row>
    <row r="88" ht="15.75" customHeight="1">
      <c r="A88" s="4" t="s">
        <v>823</v>
      </c>
      <c r="B88" s="5" t="s">
        <v>824</v>
      </c>
      <c r="C88" s="5" t="s">
        <v>825</v>
      </c>
      <c r="D88" s="5" t="s">
        <v>826</v>
      </c>
      <c r="E88" s="5" t="s">
        <v>827</v>
      </c>
      <c r="F88" s="5">
        <v>9.88723186E8</v>
      </c>
      <c r="G88" s="6"/>
      <c r="H88" s="5">
        <v>0.0</v>
      </c>
      <c r="I88" s="5" t="s">
        <v>188</v>
      </c>
      <c r="J88" s="5" t="s">
        <v>107</v>
      </c>
    </row>
    <row r="89" ht="15.75" customHeight="1">
      <c r="A89" s="4" t="s">
        <v>828</v>
      </c>
      <c r="B89" s="5" t="s">
        <v>829</v>
      </c>
      <c r="C89" s="5" t="s">
        <v>198</v>
      </c>
      <c r="D89" s="5" t="s">
        <v>830</v>
      </c>
      <c r="E89" s="5" t="s">
        <v>831</v>
      </c>
      <c r="F89" s="5" t="s">
        <v>832</v>
      </c>
      <c r="G89" s="6"/>
      <c r="H89" s="5">
        <v>0.0</v>
      </c>
      <c r="I89" s="5" t="s">
        <v>188</v>
      </c>
      <c r="J89" s="5" t="s">
        <v>19</v>
      </c>
    </row>
    <row r="90" ht="15.75" customHeight="1">
      <c r="A90" s="4" t="s">
        <v>833</v>
      </c>
      <c r="B90" s="5" t="s">
        <v>834</v>
      </c>
      <c r="C90" s="5" t="s">
        <v>186</v>
      </c>
      <c r="D90" s="5" t="s">
        <v>187</v>
      </c>
      <c r="E90" s="5">
        <v>3823.3346</v>
      </c>
      <c r="F90" s="5">
        <v>9.03827979E8</v>
      </c>
      <c r="G90" s="5" t="s">
        <v>17</v>
      </c>
      <c r="H90" s="5">
        <v>0.0</v>
      </c>
      <c r="I90" s="5" t="s">
        <v>188</v>
      </c>
      <c r="J90" s="5" t="s">
        <v>19</v>
      </c>
    </row>
    <row r="91" ht="15.75" customHeight="1">
      <c r="A91" s="4" t="s">
        <v>835</v>
      </c>
      <c r="B91" s="5" t="s">
        <v>836</v>
      </c>
      <c r="C91" s="5" t="s">
        <v>837</v>
      </c>
      <c r="D91" s="6"/>
      <c r="E91" s="5">
        <v>38513.962</v>
      </c>
      <c r="F91" s="5">
        <v>9.08122673E8</v>
      </c>
      <c r="G91" s="5" t="s">
        <v>40</v>
      </c>
      <c r="H91" s="5">
        <v>1974.0</v>
      </c>
      <c r="I91" s="5" t="s">
        <v>18</v>
      </c>
      <c r="J91" s="5" t="s">
        <v>56</v>
      </c>
    </row>
    <row r="92" ht="15.75" customHeight="1">
      <c r="A92" s="4" t="s">
        <v>838</v>
      </c>
      <c r="B92" s="5" t="s">
        <v>839</v>
      </c>
      <c r="C92" s="5" t="s">
        <v>840</v>
      </c>
      <c r="D92" s="5" t="s">
        <v>841</v>
      </c>
      <c r="E92" s="6"/>
      <c r="F92" s="5" t="s">
        <v>842</v>
      </c>
      <c r="G92" s="5" t="s">
        <v>40</v>
      </c>
      <c r="H92" s="5">
        <v>1959.0</v>
      </c>
      <c r="I92" s="5" t="s">
        <v>18</v>
      </c>
      <c r="J92" s="5" t="s">
        <v>19</v>
      </c>
    </row>
    <row r="93" ht="15.75" customHeight="1">
      <c r="A93" s="4" t="s">
        <v>843</v>
      </c>
      <c r="B93" s="5" t="s">
        <v>844</v>
      </c>
      <c r="C93" s="5" t="s">
        <v>845</v>
      </c>
      <c r="D93" s="5" t="s">
        <v>846</v>
      </c>
      <c r="E93" s="6"/>
      <c r="F93" s="5">
        <v>9.03534688E8</v>
      </c>
      <c r="G93" s="5" t="s">
        <v>17</v>
      </c>
      <c r="H93" s="5">
        <v>1976.0</v>
      </c>
      <c r="I93" s="5" t="s">
        <v>18</v>
      </c>
      <c r="J93" s="5" t="s">
        <v>86</v>
      </c>
    </row>
    <row r="94" ht="15.75" customHeight="1">
      <c r="A94" s="4" t="s">
        <v>847</v>
      </c>
      <c r="B94" s="5" t="s">
        <v>848</v>
      </c>
      <c r="C94" s="5" t="s">
        <v>849</v>
      </c>
      <c r="D94" s="5" t="s">
        <v>850</v>
      </c>
      <c r="E94" s="6"/>
      <c r="F94" s="5">
        <f>6590071228</f>
        <v>6590071228</v>
      </c>
      <c r="G94" s="5" t="s">
        <v>17</v>
      </c>
      <c r="H94" s="5">
        <v>1964.0</v>
      </c>
      <c r="I94" s="5" t="s">
        <v>70</v>
      </c>
      <c r="J94" s="5" t="s">
        <v>19</v>
      </c>
    </row>
    <row r="95" ht="15.75" customHeight="1">
      <c r="A95" s="4" t="s">
        <v>851</v>
      </c>
      <c r="B95" s="5" t="s">
        <v>852</v>
      </c>
      <c r="C95" s="5" t="s">
        <v>853</v>
      </c>
      <c r="D95" s="6"/>
      <c r="E95" s="6"/>
      <c r="F95" s="5">
        <v>9.13508246E8</v>
      </c>
      <c r="G95" s="5" t="s">
        <v>17</v>
      </c>
      <c r="H95" s="5">
        <v>1971.0</v>
      </c>
      <c r="I95" s="5" t="s">
        <v>18</v>
      </c>
      <c r="J95" s="5" t="s">
        <v>107</v>
      </c>
    </row>
    <row r="96" ht="15.75" customHeight="1">
      <c r="A96" s="4" t="s">
        <v>854</v>
      </c>
      <c r="B96" s="5" t="s">
        <v>855</v>
      </c>
      <c r="C96" s="5" t="s">
        <v>30</v>
      </c>
      <c r="D96" s="5" t="s">
        <v>31</v>
      </c>
      <c r="E96" s="6"/>
      <c r="F96" s="5">
        <v>9.03845554E8</v>
      </c>
      <c r="G96" s="5" t="s">
        <v>17</v>
      </c>
      <c r="H96" s="5">
        <v>1970.0</v>
      </c>
      <c r="I96" s="5" t="s">
        <v>18</v>
      </c>
      <c r="J96" s="5" t="s">
        <v>856</v>
      </c>
    </row>
    <row r="97" ht="15.75" customHeight="1">
      <c r="A97" s="4" t="s">
        <v>857</v>
      </c>
      <c r="B97" s="5" t="s">
        <v>858</v>
      </c>
      <c r="C97" s="5" t="s">
        <v>859</v>
      </c>
      <c r="D97" s="5" t="s">
        <v>860</v>
      </c>
      <c r="E97" s="6"/>
      <c r="F97" s="5">
        <v>9.03737067E8</v>
      </c>
      <c r="G97" s="5" t="s">
        <v>40</v>
      </c>
      <c r="H97" s="5">
        <v>1972.0</v>
      </c>
      <c r="I97" s="5" t="s">
        <v>18</v>
      </c>
      <c r="J97" s="5" t="s">
        <v>56</v>
      </c>
    </row>
    <row r="98" ht="15.75" customHeight="1">
      <c r="A98" s="4" t="s">
        <v>861</v>
      </c>
      <c r="B98" s="5" t="s">
        <v>862</v>
      </c>
      <c r="C98" s="5" t="s">
        <v>863</v>
      </c>
      <c r="D98" s="5" t="s">
        <v>864</v>
      </c>
      <c r="E98" s="6"/>
      <c r="F98" s="5">
        <v>9.03815979E8</v>
      </c>
      <c r="G98" s="5" t="s">
        <v>17</v>
      </c>
      <c r="H98" s="5">
        <v>1964.0</v>
      </c>
      <c r="I98" s="5" t="s">
        <v>70</v>
      </c>
      <c r="J98" s="5" t="s">
        <v>19</v>
      </c>
    </row>
    <row r="99" ht="15.75" customHeight="1">
      <c r="A99" s="4" t="s">
        <v>865</v>
      </c>
      <c r="B99" s="5" t="s">
        <v>866</v>
      </c>
      <c r="C99" s="5" t="s">
        <v>867</v>
      </c>
      <c r="D99" s="5" t="s">
        <v>868</v>
      </c>
      <c r="E99" s="6"/>
      <c r="F99" s="5" t="s">
        <v>869</v>
      </c>
      <c r="G99" s="5" t="s">
        <v>17</v>
      </c>
      <c r="H99" s="5">
        <v>1981.0</v>
      </c>
      <c r="I99" s="5" t="s">
        <v>870</v>
      </c>
      <c r="J99" s="5" t="s">
        <v>107</v>
      </c>
    </row>
    <row r="100" ht="15.75" customHeight="1">
      <c r="A100" s="4" t="s">
        <v>871</v>
      </c>
      <c r="B100" s="5" t="s">
        <v>584</v>
      </c>
      <c r="C100" s="5" t="s">
        <v>872</v>
      </c>
      <c r="D100" s="5" t="s">
        <v>873</v>
      </c>
      <c r="E100" s="5">
        <f>61414803432</f>
        <v>61414803432</v>
      </c>
      <c r="F100" s="5">
        <f>841222923216</f>
        <v>841222923216</v>
      </c>
      <c r="G100" s="5" t="s">
        <v>17</v>
      </c>
      <c r="H100" s="5">
        <v>1978.0</v>
      </c>
      <c r="I100" s="5" t="s">
        <v>70</v>
      </c>
      <c r="J100" s="5" t="s">
        <v>56</v>
      </c>
    </row>
    <row r="101" ht="15.75" customHeight="1">
      <c r="A101" s="4" t="s">
        <v>874</v>
      </c>
      <c r="B101" s="5" t="s">
        <v>875</v>
      </c>
      <c r="C101" s="5" t="s">
        <v>876</v>
      </c>
      <c r="D101" s="5" t="s">
        <v>877</v>
      </c>
      <c r="E101" s="6"/>
      <c r="F101" s="5">
        <v>9.03903025E8</v>
      </c>
      <c r="G101" s="5" t="s">
        <v>40</v>
      </c>
      <c r="H101" s="5">
        <v>1956.0</v>
      </c>
      <c r="I101" s="5" t="s">
        <v>18</v>
      </c>
      <c r="J101" s="5" t="s">
        <v>212</v>
      </c>
    </row>
    <row r="102" ht="15.75" customHeight="1">
      <c r="A102" s="4" t="s">
        <v>878</v>
      </c>
      <c r="B102" s="5" t="s">
        <v>513</v>
      </c>
      <c r="C102" s="5" t="s">
        <v>677</v>
      </c>
      <c r="D102" s="5" t="s">
        <v>678</v>
      </c>
      <c r="E102" s="5" t="s">
        <v>679</v>
      </c>
      <c r="F102" s="5" t="s">
        <v>680</v>
      </c>
      <c r="G102" s="5" t="s">
        <v>17</v>
      </c>
      <c r="H102" s="5">
        <v>1968.0</v>
      </c>
      <c r="I102" s="5" t="s">
        <v>70</v>
      </c>
      <c r="J102" s="5" t="s">
        <v>86</v>
      </c>
    </row>
    <row r="103" ht="15.75" customHeight="1">
      <c r="A103" s="4" t="s">
        <v>879</v>
      </c>
      <c r="B103" s="5" t="s">
        <v>880</v>
      </c>
      <c r="C103" s="5" t="s">
        <v>881</v>
      </c>
      <c r="D103" s="5" t="s">
        <v>882</v>
      </c>
      <c r="E103" s="6"/>
      <c r="F103" s="5">
        <v>9.04112929E8</v>
      </c>
      <c r="G103" s="5" t="s">
        <v>40</v>
      </c>
      <c r="H103" s="5">
        <v>1977.0</v>
      </c>
      <c r="I103" s="5" t="s">
        <v>18</v>
      </c>
      <c r="J103" s="5" t="s">
        <v>41</v>
      </c>
    </row>
    <row r="104" ht="15.75" customHeight="1">
      <c r="A104" s="4" t="s">
        <v>883</v>
      </c>
      <c r="B104" s="5" t="s">
        <v>884</v>
      </c>
      <c r="C104" s="5" t="s">
        <v>885</v>
      </c>
      <c r="D104" s="5" t="s">
        <v>92</v>
      </c>
      <c r="E104" s="6"/>
      <c r="F104" s="5">
        <v>9.03909665E8</v>
      </c>
      <c r="G104" s="5" t="s">
        <v>40</v>
      </c>
      <c r="H104" s="5">
        <v>1961.0</v>
      </c>
      <c r="I104" s="5" t="s">
        <v>18</v>
      </c>
      <c r="J104" s="5" t="s">
        <v>19</v>
      </c>
    </row>
    <row r="105" ht="15.75" customHeight="1">
      <c r="A105" s="4" t="s">
        <v>886</v>
      </c>
      <c r="B105" s="5" t="s">
        <v>887</v>
      </c>
      <c r="C105" s="5" t="s">
        <v>888</v>
      </c>
      <c r="D105" s="5" t="s">
        <v>889</v>
      </c>
      <c r="E105" s="6"/>
      <c r="F105" s="5" t="s">
        <v>890</v>
      </c>
      <c r="G105" s="5" t="s">
        <v>17</v>
      </c>
      <c r="H105" s="5">
        <v>1977.0</v>
      </c>
      <c r="I105" s="5" t="s">
        <v>18</v>
      </c>
      <c r="J105" s="5" t="s">
        <v>212</v>
      </c>
    </row>
    <row r="106" ht="15.75" customHeight="1">
      <c r="A106" s="4" t="s">
        <v>891</v>
      </c>
      <c r="B106" s="5" t="s">
        <v>892</v>
      </c>
      <c r="C106" s="5" t="s">
        <v>893</v>
      </c>
      <c r="D106" s="5" t="s">
        <v>894</v>
      </c>
      <c r="E106" s="6"/>
      <c r="F106" s="5" t="s">
        <v>895</v>
      </c>
      <c r="G106" s="5" t="s">
        <v>40</v>
      </c>
      <c r="H106" s="5">
        <v>1972.0</v>
      </c>
      <c r="I106" s="5" t="s">
        <v>18</v>
      </c>
      <c r="J106" s="5" t="s">
        <v>19</v>
      </c>
    </row>
    <row r="107" ht="15.75" customHeight="1">
      <c r="A107" s="4" t="s">
        <v>896</v>
      </c>
      <c r="B107" s="5" t="s">
        <v>897</v>
      </c>
      <c r="C107" s="5" t="s">
        <v>454</v>
      </c>
      <c r="D107" s="5" t="s">
        <v>329</v>
      </c>
      <c r="E107" s="5" t="s">
        <v>455</v>
      </c>
      <c r="F107" s="5" t="s">
        <v>456</v>
      </c>
      <c r="G107" s="5" t="s">
        <v>40</v>
      </c>
      <c r="H107" s="5">
        <v>1974.0</v>
      </c>
      <c r="I107" s="5" t="s">
        <v>18</v>
      </c>
      <c r="J107" s="5" t="s">
        <v>41</v>
      </c>
    </row>
    <row r="108" ht="15.75" customHeight="1">
      <c r="A108" s="4" t="s">
        <v>898</v>
      </c>
      <c r="B108" s="5" t="s">
        <v>899</v>
      </c>
      <c r="C108" s="5" t="s">
        <v>900</v>
      </c>
      <c r="D108" s="5" t="s">
        <v>901</v>
      </c>
      <c r="E108" s="6"/>
      <c r="F108" s="5" t="s">
        <v>162</v>
      </c>
      <c r="G108" s="5" t="s">
        <v>17</v>
      </c>
      <c r="H108" s="5">
        <v>1972.0</v>
      </c>
      <c r="I108" s="5" t="s">
        <v>70</v>
      </c>
      <c r="J108" s="5" t="s">
        <v>19</v>
      </c>
    </row>
    <row r="109" ht="15.75" customHeight="1">
      <c r="A109" s="4" t="s">
        <v>902</v>
      </c>
      <c r="B109" s="5" t="s">
        <v>903</v>
      </c>
      <c r="C109" s="5" t="s">
        <v>904</v>
      </c>
      <c r="D109" s="5" t="s">
        <v>905</v>
      </c>
      <c r="E109" s="6"/>
      <c r="F109" s="5" t="s">
        <v>906</v>
      </c>
      <c r="G109" s="5" t="s">
        <v>17</v>
      </c>
      <c r="H109" s="5">
        <v>1975.0</v>
      </c>
      <c r="I109" s="5" t="s">
        <v>18</v>
      </c>
      <c r="J109" s="5" t="s">
        <v>41</v>
      </c>
    </row>
    <row r="110" ht="15.75" customHeight="1">
      <c r="A110" s="4" t="s">
        <v>907</v>
      </c>
      <c r="B110" s="5" t="s">
        <v>908</v>
      </c>
      <c r="C110" s="5" t="s">
        <v>909</v>
      </c>
      <c r="D110" s="5" t="s">
        <v>910</v>
      </c>
      <c r="E110" s="5">
        <v>8431268.0</v>
      </c>
      <c r="F110" s="5" t="s">
        <v>911</v>
      </c>
      <c r="G110" s="5" t="s">
        <v>40</v>
      </c>
      <c r="H110" s="5">
        <v>1972.0</v>
      </c>
      <c r="I110" s="5" t="s">
        <v>18</v>
      </c>
      <c r="J110" s="5" t="s">
        <v>86</v>
      </c>
    </row>
    <row r="111" ht="15.75" customHeight="1">
      <c r="A111" s="4" t="s">
        <v>912</v>
      </c>
      <c r="B111" s="5" t="s">
        <v>913</v>
      </c>
      <c r="C111" s="5" t="s">
        <v>914</v>
      </c>
      <c r="D111" s="5" t="s">
        <v>915</v>
      </c>
      <c r="E111" s="6"/>
      <c r="F111" s="5">
        <v>9.03211147E8</v>
      </c>
      <c r="G111" s="5" t="s">
        <v>40</v>
      </c>
      <c r="H111" s="5">
        <v>1974.0</v>
      </c>
      <c r="I111" s="5" t="s">
        <v>18</v>
      </c>
      <c r="J111" s="5" t="s">
        <v>86</v>
      </c>
    </row>
    <row r="112" ht="15.75" customHeight="1">
      <c r="A112" s="4" t="s">
        <v>916</v>
      </c>
      <c r="B112" s="5" t="s">
        <v>917</v>
      </c>
      <c r="C112" s="5" t="s">
        <v>859</v>
      </c>
      <c r="D112" s="5" t="s">
        <v>860</v>
      </c>
      <c r="E112" s="6"/>
      <c r="F112" s="5">
        <v>9.03737067E8</v>
      </c>
      <c r="G112" s="5" t="s">
        <v>40</v>
      </c>
      <c r="H112" s="5">
        <v>1972.0</v>
      </c>
      <c r="I112" s="5" t="s">
        <v>18</v>
      </c>
      <c r="J112" s="5" t="s">
        <v>56</v>
      </c>
    </row>
    <row r="113" ht="15.75" customHeight="1">
      <c r="A113" s="4" t="s">
        <v>918</v>
      </c>
      <c r="B113" s="5" t="s">
        <v>919</v>
      </c>
      <c r="C113" s="5" t="s">
        <v>920</v>
      </c>
      <c r="D113" s="5" t="s">
        <v>921</v>
      </c>
      <c r="E113" s="6"/>
      <c r="F113" s="5">
        <v>9.08176239E8</v>
      </c>
      <c r="G113" s="5" t="s">
        <v>40</v>
      </c>
      <c r="H113" s="5">
        <v>1962.0</v>
      </c>
      <c r="I113" s="5" t="s">
        <v>18</v>
      </c>
      <c r="J113" s="5" t="s">
        <v>56</v>
      </c>
    </row>
    <row r="114" ht="15.75" customHeight="1">
      <c r="A114" s="4" t="s">
        <v>922</v>
      </c>
      <c r="B114" s="5" t="s">
        <v>923</v>
      </c>
      <c r="C114" s="5" t="s">
        <v>924</v>
      </c>
      <c r="D114" s="5" t="s">
        <v>925</v>
      </c>
      <c r="E114" s="5" t="s">
        <v>926</v>
      </c>
      <c r="F114" s="5">
        <v>9.18874896E8</v>
      </c>
      <c r="G114" s="5" t="s">
        <v>40</v>
      </c>
      <c r="H114" s="5">
        <v>1978.0</v>
      </c>
      <c r="I114" s="5" t="s">
        <v>18</v>
      </c>
      <c r="J114" s="5" t="s">
        <v>19</v>
      </c>
    </row>
    <row r="115" ht="15.75" customHeight="1">
      <c r="A115" s="4" t="s">
        <v>927</v>
      </c>
      <c r="B115" s="5" t="s">
        <v>928</v>
      </c>
      <c r="C115" s="5" t="s">
        <v>929</v>
      </c>
      <c r="D115" s="5" t="s">
        <v>930</v>
      </c>
      <c r="E115" s="6"/>
      <c r="F115" s="5">
        <v>9.03669021E8</v>
      </c>
      <c r="G115" s="5" t="s">
        <v>40</v>
      </c>
      <c r="H115" s="5">
        <v>1970.0</v>
      </c>
      <c r="I115" s="5" t="s">
        <v>18</v>
      </c>
      <c r="J115" s="5" t="s">
        <v>56</v>
      </c>
    </row>
    <row r="116" ht="15.75" customHeight="1">
      <c r="A116" s="4" t="s">
        <v>931</v>
      </c>
      <c r="B116" s="5" t="s">
        <v>354</v>
      </c>
      <c r="C116" s="5" t="s">
        <v>932</v>
      </c>
      <c r="D116" s="5" t="s">
        <v>933</v>
      </c>
      <c r="E116" s="6"/>
      <c r="F116" s="5">
        <v>9.89030393E8</v>
      </c>
      <c r="G116" s="5" t="s">
        <v>40</v>
      </c>
      <c r="H116" s="5">
        <v>1967.0</v>
      </c>
      <c r="I116" s="5" t="s">
        <v>18</v>
      </c>
      <c r="J116" s="5" t="s">
        <v>86</v>
      </c>
    </row>
    <row r="117" ht="15.75" customHeight="1">
      <c r="A117" s="4" t="s">
        <v>934</v>
      </c>
      <c r="B117" s="5" t="s">
        <v>935</v>
      </c>
      <c r="C117" s="5" t="s">
        <v>936</v>
      </c>
      <c r="D117" s="5" t="s">
        <v>937</v>
      </c>
      <c r="E117" s="6"/>
      <c r="F117" s="5" t="s">
        <v>938</v>
      </c>
      <c r="G117" s="5" t="s">
        <v>17</v>
      </c>
      <c r="H117" s="5">
        <v>1972.0</v>
      </c>
      <c r="I117" s="5" t="s">
        <v>18</v>
      </c>
      <c r="J117" s="5" t="s">
        <v>41</v>
      </c>
    </row>
    <row r="118" ht="15.75" customHeight="1">
      <c r="A118" s="4" t="s">
        <v>939</v>
      </c>
      <c r="B118" s="5" t="s">
        <v>940</v>
      </c>
      <c r="C118" s="5" t="s">
        <v>941</v>
      </c>
      <c r="D118" s="5" t="s">
        <v>942</v>
      </c>
      <c r="E118" s="5" t="s">
        <v>943</v>
      </c>
      <c r="F118" s="5" t="s">
        <v>162</v>
      </c>
      <c r="G118" s="5" t="s">
        <v>40</v>
      </c>
      <c r="H118" s="5">
        <v>1978.0</v>
      </c>
      <c r="I118" s="5" t="s">
        <v>18</v>
      </c>
      <c r="J118" s="5" t="s">
        <v>56</v>
      </c>
    </row>
    <row r="119" ht="15.75" customHeight="1">
      <c r="A119" s="4" t="s">
        <v>944</v>
      </c>
      <c r="B119" s="5" t="s">
        <v>945</v>
      </c>
      <c r="C119" s="5" t="s">
        <v>946</v>
      </c>
      <c r="D119" s="5" t="s">
        <v>947</v>
      </c>
      <c r="E119" s="6"/>
      <c r="F119" s="5" t="s">
        <v>948</v>
      </c>
      <c r="G119" s="5" t="s">
        <v>40</v>
      </c>
      <c r="H119" s="5">
        <v>1976.0</v>
      </c>
      <c r="I119" s="5" t="s">
        <v>18</v>
      </c>
      <c r="J119" s="5" t="s">
        <v>107</v>
      </c>
    </row>
    <row r="120" ht="15.75" customHeight="1">
      <c r="A120" s="4" t="s">
        <v>949</v>
      </c>
      <c r="B120" s="5" t="s">
        <v>950</v>
      </c>
      <c r="C120" s="5" t="s">
        <v>840</v>
      </c>
      <c r="D120" s="5" t="s">
        <v>841</v>
      </c>
      <c r="E120" s="6"/>
      <c r="F120" s="5" t="s">
        <v>842</v>
      </c>
      <c r="G120" s="5" t="s">
        <v>40</v>
      </c>
      <c r="H120" s="5">
        <v>1959.0</v>
      </c>
      <c r="I120" s="5" t="s">
        <v>18</v>
      </c>
      <c r="J120" s="5" t="s">
        <v>19</v>
      </c>
    </row>
    <row r="121" ht="15.75" customHeight="1">
      <c r="A121" s="4" t="s">
        <v>951</v>
      </c>
      <c r="B121" s="5" t="s">
        <v>858</v>
      </c>
      <c r="C121" s="5" t="s">
        <v>952</v>
      </c>
      <c r="D121" s="5" t="s">
        <v>953</v>
      </c>
      <c r="E121" s="5">
        <v>3.8394067E7</v>
      </c>
      <c r="F121" s="5">
        <v>9.79461199E8</v>
      </c>
      <c r="G121" s="5" t="s">
        <v>40</v>
      </c>
      <c r="H121" s="5">
        <v>1970.0</v>
      </c>
      <c r="I121" s="5" t="s">
        <v>18</v>
      </c>
      <c r="J121" s="5" t="s">
        <v>86</v>
      </c>
    </row>
    <row r="122" ht="15.75" customHeight="1">
      <c r="A122" s="4" t="s">
        <v>954</v>
      </c>
      <c r="B122" s="5" t="s">
        <v>955</v>
      </c>
      <c r="C122" s="5" t="s">
        <v>956</v>
      </c>
      <c r="D122" s="6"/>
      <c r="E122" s="5">
        <v>9703602.0</v>
      </c>
      <c r="F122" s="5">
        <v>9.06887907E8</v>
      </c>
      <c r="G122" s="5" t="s">
        <v>40</v>
      </c>
      <c r="H122" s="5">
        <v>1968.0</v>
      </c>
      <c r="I122" s="5" t="s">
        <v>18</v>
      </c>
      <c r="J122" s="5" t="s">
        <v>19</v>
      </c>
    </row>
    <row r="123" ht="15.75" customHeight="1">
      <c r="A123" s="4" t="s">
        <v>957</v>
      </c>
      <c r="B123" s="5" t="s">
        <v>958</v>
      </c>
      <c r="C123" s="5" t="s">
        <v>454</v>
      </c>
      <c r="D123" s="5" t="s">
        <v>329</v>
      </c>
      <c r="E123" s="5" t="s">
        <v>455</v>
      </c>
      <c r="F123" s="5" t="s">
        <v>456</v>
      </c>
      <c r="G123" s="5" t="s">
        <v>40</v>
      </c>
      <c r="H123" s="5">
        <v>1974.0</v>
      </c>
      <c r="I123" s="5" t="s">
        <v>18</v>
      </c>
      <c r="J123" s="5" t="s">
        <v>86</v>
      </c>
    </row>
    <row r="124" ht="15.75" customHeight="1">
      <c r="A124" s="4" t="s">
        <v>959</v>
      </c>
      <c r="B124" s="5" t="s">
        <v>875</v>
      </c>
      <c r="C124" s="5" t="s">
        <v>960</v>
      </c>
      <c r="D124" s="5" t="s">
        <v>961</v>
      </c>
      <c r="E124" s="6"/>
      <c r="F124" s="5">
        <v>9.82945808E8</v>
      </c>
      <c r="G124" s="5" t="s">
        <v>40</v>
      </c>
      <c r="H124" s="5">
        <v>1955.0</v>
      </c>
      <c r="I124" s="5" t="s">
        <v>18</v>
      </c>
      <c r="J124" s="5" t="s">
        <v>56</v>
      </c>
    </row>
    <row r="125" ht="15.75" customHeight="1">
      <c r="A125" s="4" t="s">
        <v>962</v>
      </c>
      <c r="B125" s="5" t="s">
        <v>963</v>
      </c>
      <c r="C125" s="5" t="s">
        <v>964</v>
      </c>
      <c r="D125" s="5" t="s">
        <v>965</v>
      </c>
      <c r="E125" s="6"/>
      <c r="F125" s="5">
        <v>9.03820625E8</v>
      </c>
      <c r="G125" s="5" t="s">
        <v>40</v>
      </c>
      <c r="H125" s="5">
        <v>1974.0</v>
      </c>
      <c r="I125" s="5" t="s">
        <v>18</v>
      </c>
      <c r="J125" s="5" t="s">
        <v>86</v>
      </c>
    </row>
    <row r="126" ht="15.75" customHeight="1">
      <c r="A126" s="4" t="s">
        <v>966</v>
      </c>
      <c r="B126" s="5" t="s">
        <v>967</v>
      </c>
      <c r="C126" s="5" t="s">
        <v>968</v>
      </c>
      <c r="D126" s="5" t="s">
        <v>969</v>
      </c>
      <c r="E126" s="6"/>
      <c r="F126" s="5" t="s">
        <v>970</v>
      </c>
      <c r="G126" s="5" t="s">
        <v>17</v>
      </c>
      <c r="H126" s="5">
        <v>1944.0</v>
      </c>
      <c r="I126" s="5" t="s">
        <v>18</v>
      </c>
      <c r="J126" s="5" t="s">
        <v>971</v>
      </c>
    </row>
    <row r="127" ht="15.75" customHeight="1">
      <c r="A127" s="4" t="s">
        <v>972</v>
      </c>
      <c r="B127" s="5" t="s">
        <v>973</v>
      </c>
      <c r="C127" s="5" t="s">
        <v>454</v>
      </c>
      <c r="D127" s="5" t="s">
        <v>329</v>
      </c>
      <c r="E127" s="5" t="s">
        <v>455</v>
      </c>
      <c r="F127" s="5" t="s">
        <v>456</v>
      </c>
      <c r="G127" s="5" t="s">
        <v>40</v>
      </c>
      <c r="H127" s="5">
        <v>1974.0</v>
      </c>
      <c r="I127" s="5" t="s">
        <v>18</v>
      </c>
      <c r="J127" s="5" t="s">
        <v>212</v>
      </c>
    </row>
    <row r="128" ht="15.75" customHeight="1">
      <c r="A128" s="4" t="s">
        <v>974</v>
      </c>
      <c r="B128" s="5" t="s">
        <v>975</v>
      </c>
      <c r="C128" s="5" t="s">
        <v>976</v>
      </c>
      <c r="D128" s="6"/>
      <c r="E128" s="6"/>
      <c r="F128" s="5">
        <v>9.13772324E8</v>
      </c>
      <c r="G128" s="5" t="s">
        <v>17</v>
      </c>
      <c r="H128" s="5">
        <v>1970.0</v>
      </c>
      <c r="I128" s="5" t="s">
        <v>18</v>
      </c>
      <c r="J128" s="5" t="s">
        <v>86</v>
      </c>
    </row>
    <row r="129" ht="15.75" customHeight="1">
      <c r="A129" s="4" t="s">
        <v>977</v>
      </c>
      <c r="B129" s="5" t="s">
        <v>978</v>
      </c>
      <c r="C129" s="5" t="s">
        <v>186</v>
      </c>
      <c r="D129" s="5" t="s">
        <v>187</v>
      </c>
      <c r="E129" s="5">
        <v>3823.3346</v>
      </c>
      <c r="F129" s="5">
        <v>9.03827979E8</v>
      </c>
      <c r="G129" s="5" t="s">
        <v>17</v>
      </c>
      <c r="H129" s="5">
        <v>0.0</v>
      </c>
      <c r="I129" s="5" t="s">
        <v>188</v>
      </c>
      <c r="J129" s="5" t="s">
        <v>19</v>
      </c>
    </row>
    <row r="130" ht="15.75" customHeight="1">
      <c r="A130" s="4" t="s">
        <v>979</v>
      </c>
      <c r="B130" s="5" t="s">
        <v>980</v>
      </c>
      <c r="C130" s="5" t="s">
        <v>981</v>
      </c>
      <c r="D130" s="5" t="s">
        <v>982</v>
      </c>
      <c r="E130" s="5" t="s">
        <v>983</v>
      </c>
      <c r="F130" s="5" t="s">
        <v>984</v>
      </c>
      <c r="G130" s="5" t="s">
        <v>17</v>
      </c>
      <c r="H130" s="5">
        <v>1973.0</v>
      </c>
      <c r="I130" s="5" t="s">
        <v>18</v>
      </c>
      <c r="J130" s="5" t="s">
        <v>985</v>
      </c>
    </row>
    <row r="131" ht="15.75" customHeight="1">
      <c r="A131" s="4" t="s">
        <v>986</v>
      </c>
      <c r="B131" s="5" t="s">
        <v>987</v>
      </c>
      <c r="C131" s="5" t="s">
        <v>186</v>
      </c>
      <c r="D131" s="5" t="s">
        <v>187</v>
      </c>
      <c r="E131" s="5">
        <v>3823.3346</v>
      </c>
      <c r="F131" s="5">
        <v>9.03827979E8</v>
      </c>
      <c r="G131" s="5" t="s">
        <v>17</v>
      </c>
      <c r="H131" s="5">
        <v>0.0</v>
      </c>
      <c r="I131" s="5" t="s">
        <v>188</v>
      </c>
      <c r="J131" s="5" t="s">
        <v>19</v>
      </c>
    </row>
    <row r="132" ht="15.75" customHeight="1">
      <c r="A132" s="4" t="s">
        <v>988</v>
      </c>
      <c r="B132" s="5" t="s">
        <v>989</v>
      </c>
      <c r="C132" s="5" t="s">
        <v>990</v>
      </c>
      <c r="D132" s="5" t="s">
        <v>991</v>
      </c>
      <c r="E132" s="6"/>
      <c r="F132" s="5">
        <v>9.18883478E8</v>
      </c>
      <c r="G132" s="5" t="s">
        <v>40</v>
      </c>
      <c r="H132" s="5">
        <v>1971.0</v>
      </c>
      <c r="I132" s="5" t="s">
        <v>18</v>
      </c>
      <c r="J132" s="5" t="s">
        <v>19</v>
      </c>
    </row>
    <row r="133" ht="15.75" customHeight="1">
      <c r="A133" s="4" t="s">
        <v>992</v>
      </c>
      <c r="B133" s="5" t="s">
        <v>993</v>
      </c>
      <c r="C133" s="5" t="s">
        <v>994</v>
      </c>
      <c r="D133" s="5" t="s">
        <v>995</v>
      </c>
      <c r="E133" s="5">
        <v>8435737.0</v>
      </c>
      <c r="F133" s="5">
        <v>9.13923303E8</v>
      </c>
      <c r="G133" s="5" t="s">
        <v>40</v>
      </c>
      <c r="H133" s="5">
        <v>1976.0</v>
      </c>
      <c r="I133" s="5" t="s">
        <v>18</v>
      </c>
      <c r="J133" s="5" t="s">
        <v>212</v>
      </c>
    </row>
    <row r="134" ht="15.75" customHeight="1">
      <c r="A134" s="4" t="s">
        <v>996</v>
      </c>
      <c r="B134" s="5" t="s">
        <v>997</v>
      </c>
      <c r="C134" s="5" t="s">
        <v>998</v>
      </c>
      <c r="D134" s="5" t="s">
        <v>999</v>
      </c>
      <c r="E134" s="5">
        <v>9.787325</v>
      </c>
      <c r="F134" s="5">
        <v>9.08282062E8</v>
      </c>
      <c r="G134" s="5" t="s">
        <v>40</v>
      </c>
      <c r="H134" s="5">
        <v>1972.0</v>
      </c>
      <c r="I134" s="5" t="s">
        <v>18</v>
      </c>
      <c r="J134" s="5" t="s">
        <v>19</v>
      </c>
    </row>
    <row r="135" ht="15.75" customHeight="1">
      <c r="A135" s="4" t="s">
        <v>1000</v>
      </c>
      <c r="B135" s="5" t="s">
        <v>155</v>
      </c>
      <c r="C135" s="5" t="s">
        <v>186</v>
      </c>
      <c r="D135" s="5" t="s">
        <v>187</v>
      </c>
      <c r="E135" s="5">
        <v>3823.3346</v>
      </c>
      <c r="F135" s="5">
        <v>9.03827979E8</v>
      </c>
      <c r="G135" s="5" t="s">
        <v>17</v>
      </c>
      <c r="H135" s="5">
        <v>0.0</v>
      </c>
      <c r="I135" s="5" t="s">
        <v>188</v>
      </c>
      <c r="J135" s="5" t="s">
        <v>19</v>
      </c>
    </row>
    <row r="136" ht="15.75" customHeight="1">
      <c r="A136" s="4" t="s">
        <v>1001</v>
      </c>
      <c r="B136" s="5" t="s">
        <v>1002</v>
      </c>
      <c r="C136" s="5" t="s">
        <v>30</v>
      </c>
      <c r="D136" s="5" t="s">
        <v>31</v>
      </c>
      <c r="E136" s="6"/>
      <c r="F136" s="5">
        <v>9.03845554E8</v>
      </c>
      <c r="G136" s="5" t="s">
        <v>17</v>
      </c>
      <c r="H136" s="5">
        <v>1970.0</v>
      </c>
      <c r="I136" s="5" t="s">
        <v>18</v>
      </c>
      <c r="J136" s="5" t="s">
        <v>86</v>
      </c>
    </row>
    <row r="137" ht="15.75" customHeight="1">
      <c r="A137" s="4" t="s">
        <v>1003</v>
      </c>
      <c r="B137" s="5" t="s">
        <v>1004</v>
      </c>
      <c r="C137" s="5" t="s">
        <v>186</v>
      </c>
      <c r="D137" s="5" t="s">
        <v>187</v>
      </c>
      <c r="E137" s="5">
        <v>3823.3346</v>
      </c>
      <c r="F137" s="5">
        <v>9.03827979E8</v>
      </c>
      <c r="G137" s="5" t="s">
        <v>17</v>
      </c>
      <c r="H137" s="5">
        <v>0.0</v>
      </c>
      <c r="I137" s="5" t="s">
        <v>188</v>
      </c>
      <c r="J137" s="5" t="s">
        <v>19</v>
      </c>
    </row>
    <row r="138" ht="15.75" customHeight="1">
      <c r="A138" s="4" t="s">
        <v>1005</v>
      </c>
      <c r="B138" s="5" t="s">
        <v>150</v>
      </c>
      <c r="C138" s="5" t="s">
        <v>1006</v>
      </c>
      <c r="D138" s="5" t="s">
        <v>1007</v>
      </c>
      <c r="E138" s="6"/>
      <c r="F138" s="5">
        <v>9.088088E8</v>
      </c>
      <c r="G138" s="5" t="s">
        <v>17</v>
      </c>
      <c r="H138" s="5">
        <v>1971.0</v>
      </c>
      <c r="I138" s="5" t="s">
        <v>70</v>
      </c>
      <c r="J138" s="5" t="s">
        <v>19</v>
      </c>
    </row>
    <row r="139" ht="15.75" customHeight="1">
      <c r="A139" s="4" t="s">
        <v>1008</v>
      </c>
      <c r="B139" s="5" t="s">
        <v>1009</v>
      </c>
      <c r="C139" s="5" t="s">
        <v>1010</v>
      </c>
      <c r="D139" s="5" t="s">
        <v>1011</v>
      </c>
      <c r="E139" s="6"/>
      <c r="F139" s="5">
        <v>9.03392629E8</v>
      </c>
      <c r="G139" s="5" t="s">
        <v>40</v>
      </c>
      <c r="H139" s="5">
        <v>1957.0</v>
      </c>
      <c r="I139" s="5" t="s">
        <v>18</v>
      </c>
      <c r="J139" s="5" t="s">
        <v>212</v>
      </c>
    </row>
    <row r="140" ht="15.75" customHeight="1">
      <c r="A140" s="4" t="s">
        <v>1012</v>
      </c>
      <c r="B140" s="5" t="s">
        <v>671</v>
      </c>
      <c r="C140" s="5" t="s">
        <v>186</v>
      </c>
      <c r="D140" s="5" t="s">
        <v>187</v>
      </c>
      <c r="E140" s="5">
        <v>3823.3346</v>
      </c>
      <c r="F140" s="5">
        <v>9.03827979E8</v>
      </c>
      <c r="G140" s="5" t="s">
        <v>17</v>
      </c>
      <c r="H140" s="5">
        <v>0.0</v>
      </c>
      <c r="I140" s="5" t="s">
        <v>188</v>
      </c>
      <c r="J140" s="5" t="s">
        <v>19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I$1:$I$140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25"/>
    <col customWidth="1" min="3" max="3" width="33.25"/>
    <col customWidth="1" min="4" max="4" width="32.0"/>
    <col customWidth="1" min="5" max="6" width="14.38"/>
    <col customWidth="1" min="7" max="7" width="8.0"/>
    <col customWidth="1" min="8" max="8" width="8.63"/>
    <col customWidth="1" min="9" max="9" width="14.38"/>
    <col customWidth="1" min="10" max="10" width="33.25"/>
    <col customWidth="1" min="11" max="26" width="14.38"/>
  </cols>
  <sheetData>
    <row r="1" ht="15.75" customHeight="1">
      <c r="A1" s="1" t="s">
        <v>1013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4" t="s">
        <v>10</v>
      </c>
      <c r="B2" s="5" t="s">
        <v>11</v>
      </c>
      <c r="C2" s="5" t="s">
        <v>12</v>
      </c>
      <c r="D2" s="5" t="s">
        <v>12</v>
      </c>
      <c r="E2" s="5" t="s">
        <v>12</v>
      </c>
      <c r="F2" s="5" t="s">
        <v>13</v>
      </c>
      <c r="G2" s="5" t="s">
        <v>12</v>
      </c>
      <c r="H2" s="5" t="s">
        <v>12</v>
      </c>
      <c r="I2" s="5" t="s">
        <v>12</v>
      </c>
      <c r="J2" s="6"/>
    </row>
    <row r="3" ht="15.75" customHeight="1">
      <c r="A3" s="4" t="s">
        <v>1014</v>
      </c>
      <c r="B3" s="5" t="s">
        <v>682</v>
      </c>
      <c r="C3" s="5" t="s">
        <v>1015</v>
      </c>
      <c r="D3" s="5" t="s">
        <v>1016</v>
      </c>
      <c r="E3" s="5" t="s">
        <v>1017</v>
      </c>
      <c r="F3" s="5">
        <v>9.0381111E8</v>
      </c>
      <c r="G3" s="5" t="s">
        <v>17</v>
      </c>
      <c r="H3" s="5">
        <v>1965.0</v>
      </c>
      <c r="I3" s="5" t="s">
        <v>18</v>
      </c>
      <c r="J3" s="5" t="s">
        <v>212</v>
      </c>
    </row>
    <row r="4" ht="15.75" customHeight="1">
      <c r="A4" s="4" t="s">
        <v>1018</v>
      </c>
      <c r="B4" s="5" t="s">
        <v>1019</v>
      </c>
      <c r="C4" s="5" t="s">
        <v>1020</v>
      </c>
      <c r="D4" s="5" t="s">
        <v>1021</v>
      </c>
      <c r="E4" s="6"/>
      <c r="F4" s="5" t="s">
        <v>1022</v>
      </c>
      <c r="G4" s="5" t="s">
        <v>17</v>
      </c>
      <c r="H4" s="5">
        <v>1983.0</v>
      </c>
      <c r="I4" s="5" t="s">
        <v>18</v>
      </c>
      <c r="J4" s="5" t="s">
        <v>856</v>
      </c>
    </row>
    <row r="5" ht="15.75" customHeight="1">
      <c r="A5" s="4" t="s">
        <v>1023</v>
      </c>
      <c r="B5" s="5" t="s">
        <v>1024</v>
      </c>
      <c r="C5" s="5" t="s">
        <v>548</v>
      </c>
      <c r="D5" s="5" t="s">
        <v>549</v>
      </c>
      <c r="E5" s="6"/>
      <c r="F5" s="5">
        <v>9.03653548E8</v>
      </c>
      <c r="G5" s="5" t="s">
        <v>40</v>
      </c>
      <c r="H5" s="5">
        <v>1965.0</v>
      </c>
      <c r="I5" s="5" t="s">
        <v>18</v>
      </c>
      <c r="J5" s="5" t="s">
        <v>56</v>
      </c>
    </row>
    <row r="6" ht="15.75" customHeight="1">
      <c r="A6" s="4" t="s">
        <v>1025</v>
      </c>
      <c r="B6" s="5" t="s">
        <v>1026</v>
      </c>
      <c r="C6" s="5" t="s">
        <v>1027</v>
      </c>
      <c r="D6" s="5" t="s">
        <v>1028</v>
      </c>
      <c r="E6" s="6"/>
      <c r="F6" s="5" t="s">
        <v>1029</v>
      </c>
      <c r="G6" s="5" t="s">
        <v>17</v>
      </c>
      <c r="H6" s="5">
        <v>1975.0</v>
      </c>
      <c r="I6" s="5" t="s">
        <v>18</v>
      </c>
      <c r="J6" s="5" t="s">
        <v>1030</v>
      </c>
    </row>
    <row r="7" ht="15.75" customHeight="1">
      <c r="A7" s="4" t="s">
        <v>1031</v>
      </c>
      <c r="B7" s="5" t="s">
        <v>1032</v>
      </c>
      <c r="C7" s="5" t="s">
        <v>1033</v>
      </c>
      <c r="D7" s="5" t="s">
        <v>1034</v>
      </c>
      <c r="E7" s="5" t="s">
        <v>1035</v>
      </c>
      <c r="F7" s="5" t="s">
        <v>162</v>
      </c>
      <c r="G7" s="6"/>
      <c r="H7" s="5">
        <v>0.0</v>
      </c>
      <c r="I7" s="5" t="s">
        <v>188</v>
      </c>
      <c r="J7" s="5" t="s">
        <v>1036</v>
      </c>
    </row>
    <row r="8" ht="15.75" customHeight="1">
      <c r="A8" s="4" t="s">
        <v>1037</v>
      </c>
      <c r="B8" s="5" t="s">
        <v>1038</v>
      </c>
      <c r="C8" s="5" t="s">
        <v>1039</v>
      </c>
      <c r="D8" s="5" t="s">
        <v>1040</v>
      </c>
      <c r="E8" s="6"/>
      <c r="F8" s="5" t="s">
        <v>1041</v>
      </c>
      <c r="G8" s="5" t="s">
        <v>40</v>
      </c>
      <c r="H8" s="5">
        <v>1960.0</v>
      </c>
      <c r="I8" s="5" t="s">
        <v>18</v>
      </c>
      <c r="J8" s="5" t="s">
        <v>1042</v>
      </c>
    </row>
    <row r="9" ht="15.75" customHeight="1">
      <c r="A9" s="4" t="s">
        <v>1043</v>
      </c>
      <c r="B9" s="5" t="s">
        <v>1044</v>
      </c>
      <c r="C9" s="5" t="s">
        <v>1045</v>
      </c>
      <c r="D9" s="5" t="s">
        <v>1046</v>
      </c>
      <c r="E9" s="6"/>
      <c r="F9" s="5" t="s">
        <v>1047</v>
      </c>
      <c r="G9" s="5" t="s">
        <v>17</v>
      </c>
      <c r="H9" s="5">
        <v>1992.0</v>
      </c>
      <c r="I9" s="5" t="s">
        <v>18</v>
      </c>
      <c r="J9" s="5" t="s">
        <v>1048</v>
      </c>
    </row>
    <row r="10" ht="15.75" customHeight="1">
      <c r="A10" s="4" t="s">
        <v>1049</v>
      </c>
      <c r="B10" s="5" t="s">
        <v>1050</v>
      </c>
      <c r="C10" s="5" t="s">
        <v>1051</v>
      </c>
      <c r="D10" s="5" t="s">
        <v>1052</v>
      </c>
      <c r="E10" s="6"/>
      <c r="F10" s="5" t="s">
        <v>1053</v>
      </c>
      <c r="G10" s="5" t="s">
        <v>40</v>
      </c>
      <c r="H10" s="5">
        <v>1960.0</v>
      </c>
      <c r="I10" s="5" t="s">
        <v>18</v>
      </c>
      <c r="J10" s="5" t="s">
        <v>1054</v>
      </c>
    </row>
    <row r="11" ht="15.75" customHeight="1">
      <c r="A11" s="4" t="s">
        <v>1055</v>
      </c>
      <c r="B11" s="5" t="s">
        <v>1056</v>
      </c>
      <c r="C11" s="5" t="s">
        <v>1057</v>
      </c>
      <c r="D11" s="5" t="s">
        <v>1058</v>
      </c>
      <c r="E11" s="6"/>
      <c r="F11" s="5">
        <v>9.03315747E8</v>
      </c>
      <c r="G11" s="5" t="s">
        <v>40</v>
      </c>
      <c r="H11" s="5">
        <v>1972.0</v>
      </c>
      <c r="I11" s="5" t="s">
        <v>18</v>
      </c>
      <c r="J11" s="5" t="s">
        <v>41</v>
      </c>
    </row>
    <row r="12" ht="15.75" customHeight="1">
      <c r="A12" s="4" t="s">
        <v>1059</v>
      </c>
      <c r="B12" s="5" t="s">
        <v>1060</v>
      </c>
      <c r="C12" s="5" t="s">
        <v>1061</v>
      </c>
      <c r="D12" s="5" t="s">
        <v>1062</v>
      </c>
      <c r="E12" s="6"/>
      <c r="F12" s="5" t="s">
        <v>1063</v>
      </c>
      <c r="G12" s="5" t="s">
        <v>17</v>
      </c>
      <c r="H12" s="5">
        <v>1975.0</v>
      </c>
      <c r="I12" s="5" t="s">
        <v>18</v>
      </c>
      <c r="J12" s="5" t="s">
        <v>856</v>
      </c>
    </row>
    <row r="13" ht="15.75" customHeight="1">
      <c r="A13" s="4" t="s">
        <v>1064</v>
      </c>
      <c r="B13" s="5" t="s">
        <v>1065</v>
      </c>
      <c r="C13" s="5" t="s">
        <v>594</v>
      </c>
      <c r="D13" s="5" t="s">
        <v>595</v>
      </c>
      <c r="E13" s="5" t="s">
        <v>596</v>
      </c>
      <c r="F13" s="5" t="s">
        <v>597</v>
      </c>
      <c r="G13" s="5" t="s">
        <v>40</v>
      </c>
      <c r="H13" s="5">
        <v>1977.0</v>
      </c>
      <c r="I13" s="5" t="s">
        <v>18</v>
      </c>
      <c r="J13" s="5" t="s">
        <v>86</v>
      </c>
    </row>
    <row r="14" ht="15.75" customHeight="1">
      <c r="A14" s="4" t="s">
        <v>1066</v>
      </c>
      <c r="B14" s="5" t="s">
        <v>1067</v>
      </c>
      <c r="C14" s="5" t="s">
        <v>1068</v>
      </c>
      <c r="D14" s="5" t="s">
        <v>1069</v>
      </c>
      <c r="E14" s="6"/>
      <c r="F14" s="5" t="s">
        <v>1070</v>
      </c>
      <c r="G14" s="5" t="s">
        <v>17</v>
      </c>
      <c r="H14" s="5">
        <v>1984.0</v>
      </c>
      <c r="I14" s="5" t="s">
        <v>18</v>
      </c>
      <c r="J14" s="5" t="s">
        <v>1071</v>
      </c>
    </row>
    <row r="15" ht="15.75" customHeight="1">
      <c r="A15" s="4" t="s">
        <v>1072</v>
      </c>
      <c r="B15" s="5" t="s">
        <v>1073</v>
      </c>
      <c r="C15" s="5" t="s">
        <v>1074</v>
      </c>
      <c r="D15" s="5" t="s">
        <v>1075</v>
      </c>
      <c r="E15" s="6"/>
      <c r="F15" s="5" t="s">
        <v>1076</v>
      </c>
      <c r="G15" s="5" t="s">
        <v>40</v>
      </c>
      <c r="H15" s="5">
        <v>1948.0</v>
      </c>
      <c r="I15" s="5" t="s">
        <v>18</v>
      </c>
      <c r="J15" s="5" t="s">
        <v>1036</v>
      </c>
    </row>
    <row r="16" ht="15.75" customHeight="1">
      <c r="A16" s="4" t="s">
        <v>1077</v>
      </c>
      <c r="B16" s="5" t="s">
        <v>1044</v>
      </c>
      <c r="C16" s="5" t="s">
        <v>1078</v>
      </c>
      <c r="D16" s="5" t="s">
        <v>1079</v>
      </c>
      <c r="E16" s="5" t="s">
        <v>1080</v>
      </c>
      <c r="F16" s="5" t="s">
        <v>1081</v>
      </c>
      <c r="G16" s="5" t="s">
        <v>17</v>
      </c>
      <c r="H16" s="5">
        <v>1951.0</v>
      </c>
      <c r="I16" s="5" t="s">
        <v>18</v>
      </c>
      <c r="J16" s="5" t="s">
        <v>1030</v>
      </c>
    </row>
    <row r="17" ht="15.75" customHeight="1">
      <c r="A17" s="4" t="s">
        <v>1082</v>
      </c>
      <c r="B17" s="5" t="s">
        <v>1083</v>
      </c>
      <c r="C17" s="5" t="s">
        <v>825</v>
      </c>
      <c r="D17" s="5" t="s">
        <v>826</v>
      </c>
      <c r="E17" s="5" t="s">
        <v>827</v>
      </c>
      <c r="F17" s="5">
        <v>9.88723186E8</v>
      </c>
      <c r="G17" s="6"/>
      <c r="H17" s="5">
        <v>0.0</v>
      </c>
      <c r="I17" s="5" t="s">
        <v>188</v>
      </c>
      <c r="J17" s="5" t="s">
        <v>107</v>
      </c>
    </row>
    <row r="18" ht="15.75" customHeight="1">
      <c r="A18" s="4" t="s">
        <v>1084</v>
      </c>
      <c r="B18" s="5" t="s">
        <v>1050</v>
      </c>
      <c r="C18" s="5" t="s">
        <v>1085</v>
      </c>
      <c r="D18" s="5" t="s">
        <v>1086</v>
      </c>
      <c r="E18" s="6"/>
      <c r="F18" s="5" t="s">
        <v>1087</v>
      </c>
      <c r="G18" s="5" t="s">
        <v>40</v>
      </c>
      <c r="H18" s="5">
        <v>1962.0</v>
      </c>
      <c r="I18" s="5" t="s">
        <v>18</v>
      </c>
      <c r="J18" s="5" t="s">
        <v>1088</v>
      </c>
    </row>
    <row r="19" ht="15.75" customHeight="1">
      <c r="A19" s="4" t="s">
        <v>1089</v>
      </c>
      <c r="B19" s="5" t="s">
        <v>1090</v>
      </c>
      <c r="C19" s="5" t="s">
        <v>1091</v>
      </c>
      <c r="D19" s="5" t="s">
        <v>1092</v>
      </c>
      <c r="E19" s="6"/>
      <c r="F19" s="5">
        <v>9.18031939E8</v>
      </c>
      <c r="G19" s="5" t="s">
        <v>40</v>
      </c>
      <c r="H19" s="5">
        <v>1968.0</v>
      </c>
      <c r="I19" s="5" t="s">
        <v>18</v>
      </c>
      <c r="J19" s="5" t="s">
        <v>86</v>
      </c>
    </row>
    <row r="20" ht="15.75" customHeight="1">
      <c r="A20" s="4" t="s">
        <v>1093</v>
      </c>
      <c r="B20" s="5" t="s">
        <v>1094</v>
      </c>
      <c r="C20" s="5" t="s">
        <v>1095</v>
      </c>
      <c r="D20" s="5" t="s">
        <v>1096</v>
      </c>
      <c r="E20" s="6"/>
      <c r="F20" s="5" t="s">
        <v>1097</v>
      </c>
      <c r="G20" s="5" t="s">
        <v>40</v>
      </c>
      <c r="H20" s="5">
        <v>1984.0</v>
      </c>
      <c r="I20" s="5" t="s">
        <v>18</v>
      </c>
      <c r="J20" s="5" t="s">
        <v>985</v>
      </c>
    </row>
    <row r="21" ht="15.75" customHeight="1">
      <c r="A21" s="4" t="s">
        <v>1098</v>
      </c>
      <c r="B21" s="5" t="s">
        <v>716</v>
      </c>
      <c r="C21" s="5" t="s">
        <v>1099</v>
      </c>
      <c r="D21" s="5" t="s">
        <v>1100</v>
      </c>
      <c r="E21" s="6"/>
      <c r="F21" s="5">
        <v>9.09012348E8</v>
      </c>
      <c r="G21" s="5" t="s">
        <v>17</v>
      </c>
      <c r="H21" s="5">
        <v>1951.0</v>
      </c>
      <c r="I21" s="5" t="s">
        <v>70</v>
      </c>
      <c r="J21" s="5" t="s">
        <v>783</v>
      </c>
    </row>
    <row r="22" ht="15.75" customHeight="1">
      <c r="A22" s="4" t="s">
        <v>1101</v>
      </c>
      <c r="B22" s="5" t="s">
        <v>1102</v>
      </c>
      <c r="C22" s="5" t="s">
        <v>1103</v>
      </c>
      <c r="D22" s="5" t="s">
        <v>1104</v>
      </c>
      <c r="E22" s="6"/>
      <c r="F22" s="5">
        <f>7033703433</f>
        <v>7033703433</v>
      </c>
      <c r="G22" s="5" t="s">
        <v>17</v>
      </c>
      <c r="H22" s="5">
        <v>1967.0</v>
      </c>
      <c r="I22" s="5" t="s">
        <v>870</v>
      </c>
      <c r="J22" s="5" t="s">
        <v>86</v>
      </c>
    </row>
    <row r="23" ht="15.75" customHeight="1">
      <c r="A23" s="4" t="s">
        <v>1105</v>
      </c>
      <c r="B23" s="5" t="s">
        <v>1106</v>
      </c>
      <c r="C23" s="5" t="s">
        <v>1107</v>
      </c>
      <c r="D23" s="5" t="s">
        <v>1108</v>
      </c>
      <c r="E23" s="5" t="s">
        <v>1109</v>
      </c>
      <c r="F23" s="6"/>
      <c r="G23" s="5" t="s">
        <v>17</v>
      </c>
      <c r="H23" s="5">
        <v>0.0</v>
      </c>
      <c r="I23" s="5" t="s">
        <v>188</v>
      </c>
      <c r="J23" s="5" t="s">
        <v>107</v>
      </c>
    </row>
    <row r="24" ht="15.75" customHeight="1">
      <c r="A24" s="4" t="s">
        <v>1110</v>
      </c>
      <c r="B24" s="5" t="s">
        <v>1111</v>
      </c>
      <c r="C24" s="5" t="s">
        <v>1112</v>
      </c>
      <c r="D24" s="5" t="s">
        <v>1113</v>
      </c>
      <c r="E24" s="5">
        <v>3920.0911</v>
      </c>
      <c r="F24" s="5">
        <v>9.03730911E8</v>
      </c>
      <c r="G24" s="5" t="s">
        <v>40</v>
      </c>
      <c r="H24" s="5">
        <v>1964.0</v>
      </c>
      <c r="I24" s="5" t="s">
        <v>18</v>
      </c>
      <c r="J24" s="5" t="s">
        <v>1114</v>
      </c>
    </row>
    <row r="25" ht="15.75" customHeight="1">
      <c r="A25" s="4" t="s">
        <v>1115</v>
      </c>
      <c r="B25" s="5" t="s">
        <v>305</v>
      </c>
      <c r="C25" s="5" t="s">
        <v>1116</v>
      </c>
      <c r="D25" s="5" t="s">
        <v>1117</v>
      </c>
      <c r="E25" s="5">
        <v>3910.069</v>
      </c>
      <c r="F25" s="5" t="s">
        <v>1118</v>
      </c>
      <c r="G25" s="5" t="s">
        <v>17</v>
      </c>
      <c r="H25" s="5">
        <v>1964.0</v>
      </c>
      <c r="I25" s="5" t="s">
        <v>70</v>
      </c>
      <c r="J25" s="5" t="s">
        <v>86</v>
      </c>
    </row>
    <row r="26" ht="15.75" customHeight="1">
      <c r="A26" s="4" t="s">
        <v>1119</v>
      </c>
      <c r="B26" s="5" t="s">
        <v>1067</v>
      </c>
      <c r="C26" s="5" t="s">
        <v>1120</v>
      </c>
      <c r="D26" s="5" t="s">
        <v>1121</v>
      </c>
      <c r="E26" s="6"/>
      <c r="F26" s="5" t="s">
        <v>1122</v>
      </c>
      <c r="G26" s="5" t="s">
        <v>40</v>
      </c>
      <c r="H26" s="5">
        <v>1970.0</v>
      </c>
      <c r="I26" s="5" t="s">
        <v>18</v>
      </c>
      <c r="J26" s="5" t="s">
        <v>1123</v>
      </c>
    </row>
    <row r="27" ht="15.75" customHeight="1">
      <c r="A27" s="4" t="s">
        <v>1124</v>
      </c>
      <c r="B27" s="5" t="s">
        <v>1050</v>
      </c>
      <c r="C27" s="5" t="s">
        <v>1125</v>
      </c>
      <c r="D27" s="6"/>
      <c r="E27" s="6"/>
      <c r="F27" s="5">
        <v>9.13570062E8</v>
      </c>
      <c r="G27" s="5" t="s">
        <v>40</v>
      </c>
      <c r="H27" s="5">
        <v>1958.0</v>
      </c>
      <c r="I27" s="5" t="s">
        <v>18</v>
      </c>
      <c r="J27" s="5" t="s">
        <v>1036</v>
      </c>
    </row>
    <row r="28" ht="15.75" customHeight="1">
      <c r="A28" s="4" t="s">
        <v>1126</v>
      </c>
      <c r="B28" s="5" t="s">
        <v>1127</v>
      </c>
      <c r="C28" s="5" t="s">
        <v>1128</v>
      </c>
      <c r="D28" s="5" t="s">
        <v>1129</v>
      </c>
      <c r="E28" s="6"/>
      <c r="F28" s="5" t="s">
        <v>1130</v>
      </c>
      <c r="G28" s="5" t="s">
        <v>17</v>
      </c>
      <c r="H28" s="5">
        <v>1977.0</v>
      </c>
      <c r="I28" s="5" t="s">
        <v>70</v>
      </c>
      <c r="J28" s="5" t="s">
        <v>534</v>
      </c>
    </row>
    <row r="29" ht="15.75" customHeight="1">
      <c r="A29" s="4" t="s">
        <v>1131</v>
      </c>
      <c r="B29" s="5" t="s">
        <v>1132</v>
      </c>
      <c r="C29" s="5" t="s">
        <v>1133</v>
      </c>
      <c r="D29" s="5" t="s">
        <v>1134</v>
      </c>
      <c r="E29" s="6"/>
      <c r="F29" s="5">
        <v>9.49761858E8</v>
      </c>
      <c r="G29" s="5" t="s">
        <v>40</v>
      </c>
      <c r="H29" s="5">
        <v>1976.0</v>
      </c>
      <c r="I29" s="5" t="s">
        <v>70</v>
      </c>
      <c r="J29" s="5" t="s">
        <v>107</v>
      </c>
    </row>
    <row r="30" ht="15.75" customHeight="1">
      <c r="A30" s="4" t="s">
        <v>1135</v>
      </c>
      <c r="B30" s="5" t="s">
        <v>1136</v>
      </c>
      <c r="C30" s="5" t="s">
        <v>1137</v>
      </c>
      <c r="D30" s="5" t="s">
        <v>1138</v>
      </c>
      <c r="E30" s="6"/>
      <c r="F30" s="5" t="s">
        <v>1139</v>
      </c>
      <c r="G30" s="5" t="s">
        <v>17</v>
      </c>
      <c r="H30" s="5">
        <v>1989.0</v>
      </c>
      <c r="I30" s="5" t="s">
        <v>18</v>
      </c>
      <c r="J30" s="5" t="s">
        <v>1140</v>
      </c>
    </row>
    <row r="31" ht="15.75" customHeight="1">
      <c r="A31" s="4" t="s">
        <v>1141</v>
      </c>
      <c r="B31" s="5" t="s">
        <v>1142</v>
      </c>
      <c r="C31" s="5" t="s">
        <v>1143</v>
      </c>
      <c r="D31" s="5" t="s">
        <v>1144</v>
      </c>
      <c r="E31" s="5" t="s">
        <v>1145</v>
      </c>
      <c r="F31" s="5" t="s">
        <v>1146</v>
      </c>
      <c r="G31" s="5" t="s">
        <v>17</v>
      </c>
      <c r="H31" s="5">
        <v>1967.0</v>
      </c>
      <c r="I31" s="5" t="s">
        <v>18</v>
      </c>
      <c r="J31" s="5" t="s">
        <v>212</v>
      </c>
    </row>
    <row r="32" ht="15.75" customHeight="1">
      <c r="A32" s="4" t="s">
        <v>1147</v>
      </c>
      <c r="B32" s="5" t="s">
        <v>1148</v>
      </c>
      <c r="C32" s="5" t="s">
        <v>1149</v>
      </c>
      <c r="D32" s="5" t="s">
        <v>1150</v>
      </c>
      <c r="E32" s="6"/>
      <c r="F32" s="5" t="s">
        <v>1151</v>
      </c>
      <c r="G32" s="5" t="s">
        <v>40</v>
      </c>
      <c r="H32" s="5">
        <v>1982.0</v>
      </c>
      <c r="I32" s="5" t="s">
        <v>18</v>
      </c>
      <c r="J32" s="5" t="s">
        <v>1152</v>
      </c>
    </row>
    <row r="33" ht="15.75" customHeight="1">
      <c r="A33" s="4" t="s">
        <v>1153</v>
      </c>
      <c r="B33" s="5" t="s">
        <v>1154</v>
      </c>
      <c r="C33" s="5" t="s">
        <v>1155</v>
      </c>
      <c r="D33" s="5" t="s">
        <v>1156</v>
      </c>
      <c r="E33" s="6"/>
      <c r="F33" s="5">
        <v>9.1321426E8</v>
      </c>
      <c r="G33" s="5" t="s">
        <v>40</v>
      </c>
      <c r="H33" s="5">
        <v>1974.0</v>
      </c>
      <c r="I33" s="5" t="s">
        <v>18</v>
      </c>
      <c r="J33" s="5" t="s">
        <v>86</v>
      </c>
    </row>
    <row r="34" ht="15.75" customHeight="1">
      <c r="A34" s="4" t="s">
        <v>1157</v>
      </c>
      <c r="B34" s="5" t="s">
        <v>1158</v>
      </c>
      <c r="C34" s="5" t="s">
        <v>1159</v>
      </c>
      <c r="D34" s="5" t="s">
        <v>1160</v>
      </c>
      <c r="E34" s="6"/>
      <c r="F34" s="5" t="s">
        <v>1161</v>
      </c>
      <c r="G34" s="5" t="s">
        <v>40</v>
      </c>
      <c r="H34" s="5">
        <v>1979.0</v>
      </c>
      <c r="I34" s="5" t="s">
        <v>18</v>
      </c>
      <c r="J34" s="5" t="s">
        <v>1162</v>
      </c>
    </row>
    <row r="35" ht="15.75" customHeight="1">
      <c r="A35" s="4" t="s">
        <v>1163</v>
      </c>
      <c r="B35" s="5" t="s">
        <v>1164</v>
      </c>
      <c r="C35" s="5" t="s">
        <v>1165</v>
      </c>
      <c r="D35" s="5" t="s">
        <v>1166</v>
      </c>
      <c r="E35" s="6"/>
      <c r="F35" s="5">
        <v>9.03787212E8</v>
      </c>
      <c r="G35" s="5" t="s">
        <v>17</v>
      </c>
      <c r="H35" s="5">
        <v>1976.0</v>
      </c>
      <c r="I35" s="5" t="s">
        <v>18</v>
      </c>
      <c r="J35" s="5" t="s">
        <v>212</v>
      </c>
    </row>
    <row r="36" ht="15.75" customHeight="1">
      <c r="A36" s="4" t="s">
        <v>1167</v>
      </c>
      <c r="B36" s="5" t="s">
        <v>1026</v>
      </c>
      <c r="C36" s="5" t="s">
        <v>1168</v>
      </c>
      <c r="D36" s="5" t="s">
        <v>1169</v>
      </c>
      <c r="E36" s="5" t="s">
        <v>1170</v>
      </c>
      <c r="F36" s="5" t="s">
        <v>1171</v>
      </c>
      <c r="G36" s="5" t="s">
        <v>17</v>
      </c>
      <c r="H36" s="5">
        <v>1984.0</v>
      </c>
      <c r="I36" s="5" t="s">
        <v>870</v>
      </c>
      <c r="J36" s="5" t="s">
        <v>534</v>
      </c>
    </row>
    <row r="37" ht="15.75" customHeight="1">
      <c r="A37" s="4" t="s">
        <v>1172</v>
      </c>
      <c r="B37" s="5" t="s">
        <v>1173</v>
      </c>
      <c r="C37" s="5" t="s">
        <v>1174</v>
      </c>
      <c r="D37" s="5" t="s">
        <v>1175</v>
      </c>
      <c r="E37" s="5" t="s">
        <v>1176</v>
      </c>
      <c r="F37" s="5" t="s">
        <v>1177</v>
      </c>
      <c r="G37" s="5" t="s">
        <v>40</v>
      </c>
      <c r="H37" s="5">
        <v>1968.0</v>
      </c>
      <c r="I37" s="5" t="s">
        <v>870</v>
      </c>
      <c r="J37" s="5" t="s">
        <v>86</v>
      </c>
    </row>
    <row r="38" ht="15.75" customHeight="1">
      <c r="A38" s="4" t="s">
        <v>1178</v>
      </c>
      <c r="B38" s="5" t="s">
        <v>1026</v>
      </c>
      <c r="C38" s="5" t="s">
        <v>1179</v>
      </c>
      <c r="D38" s="5" t="s">
        <v>1180</v>
      </c>
      <c r="E38" s="6"/>
      <c r="F38" s="5" t="s">
        <v>1181</v>
      </c>
      <c r="G38" s="5" t="s">
        <v>40</v>
      </c>
      <c r="H38" s="5">
        <v>1987.0</v>
      </c>
      <c r="I38" s="5" t="s">
        <v>18</v>
      </c>
      <c r="J38" s="5" t="s">
        <v>1182</v>
      </c>
    </row>
    <row r="39" ht="15.75" customHeight="1">
      <c r="A39" s="4" t="s">
        <v>1183</v>
      </c>
      <c r="B39" s="5" t="s">
        <v>1184</v>
      </c>
      <c r="C39" s="5" t="s">
        <v>1185</v>
      </c>
      <c r="D39" s="5" t="s">
        <v>1186</v>
      </c>
      <c r="E39" s="5" t="s">
        <v>1187</v>
      </c>
      <c r="F39" s="5" t="s">
        <v>1188</v>
      </c>
      <c r="G39" s="5" t="s">
        <v>40</v>
      </c>
      <c r="H39" s="5">
        <v>1972.0</v>
      </c>
      <c r="I39" s="5" t="s">
        <v>18</v>
      </c>
      <c r="J39" s="5" t="s">
        <v>1189</v>
      </c>
    </row>
    <row r="40" ht="15.75" customHeight="1">
      <c r="A40" s="4" t="s">
        <v>1190</v>
      </c>
      <c r="B40" s="5" t="s">
        <v>1191</v>
      </c>
      <c r="C40" s="5" t="s">
        <v>1192</v>
      </c>
      <c r="D40" s="5" t="s">
        <v>1193</v>
      </c>
      <c r="E40" s="5" t="s">
        <v>1194</v>
      </c>
      <c r="F40" s="5" t="s">
        <v>1195</v>
      </c>
      <c r="G40" s="5" t="s">
        <v>40</v>
      </c>
      <c r="H40" s="5">
        <v>1960.0</v>
      </c>
      <c r="I40" s="5" t="s">
        <v>18</v>
      </c>
      <c r="J40" s="5" t="s">
        <v>56</v>
      </c>
    </row>
    <row r="41" ht="15.75" customHeight="1">
      <c r="A41" s="4" t="s">
        <v>1196</v>
      </c>
      <c r="B41" s="5" t="s">
        <v>1197</v>
      </c>
      <c r="C41" s="5" t="s">
        <v>1198</v>
      </c>
      <c r="D41" s="5" t="s">
        <v>1199</v>
      </c>
      <c r="E41" s="6"/>
      <c r="F41" s="5">
        <v>9.1625E8</v>
      </c>
      <c r="G41" s="5" t="s">
        <v>17</v>
      </c>
      <c r="H41" s="5">
        <v>1977.0</v>
      </c>
      <c r="I41" s="5" t="s">
        <v>70</v>
      </c>
      <c r="J41" s="5" t="s">
        <v>1200</v>
      </c>
    </row>
    <row r="42" ht="15.75" customHeight="1">
      <c r="A42" s="4" t="s">
        <v>1201</v>
      </c>
      <c r="B42" s="5" t="s">
        <v>1136</v>
      </c>
      <c r="C42" s="5" t="s">
        <v>1202</v>
      </c>
      <c r="D42" s="5" t="s">
        <v>1203</v>
      </c>
      <c r="E42" s="6"/>
      <c r="F42" s="5" t="s">
        <v>1204</v>
      </c>
      <c r="G42" s="5" t="s">
        <v>40</v>
      </c>
      <c r="H42" s="5">
        <v>1960.0</v>
      </c>
      <c r="I42" s="5" t="s">
        <v>18</v>
      </c>
      <c r="J42" s="5" t="s">
        <v>1054</v>
      </c>
    </row>
    <row r="43" ht="15.75" customHeight="1">
      <c r="A43" s="4" t="s">
        <v>1205</v>
      </c>
      <c r="B43" s="5" t="s">
        <v>1206</v>
      </c>
      <c r="C43" s="5" t="s">
        <v>1174</v>
      </c>
      <c r="D43" s="5" t="s">
        <v>1175</v>
      </c>
      <c r="E43" s="5" t="s">
        <v>1176</v>
      </c>
      <c r="F43" s="5" t="s">
        <v>1177</v>
      </c>
      <c r="G43" s="5" t="s">
        <v>40</v>
      </c>
      <c r="H43" s="5">
        <v>1968.0</v>
      </c>
      <c r="I43" s="5" t="s">
        <v>870</v>
      </c>
      <c r="J43" s="5" t="s">
        <v>86</v>
      </c>
    </row>
    <row r="44" ht="15.75" customHeight="1">
      <c r="A44" s="4" t="s">
        <v>1207</v>
      </c>
      <c r="B44" s="5" t="s">
        <v>762</v>
      </c>
      <c r="C44" s="5" t="s">
        <v>1208</v>
      </c>
      <c r="D44" s="5" t="s">
        <v>1209</v>
      </c>
      <c r="E44" s="6"/>
      <c r="F44" s="5">
        <v>9.04276077E8</v>
      </c>
      <c r="G44" s="5" t="s">
        <v>17</v>
      </c>
      <c r="H44" s="5">
        <v>1968.0</v>
      </c>
      <c r="I44" s="5" t="s">
        <v>70</v>
      </c>
      <c r="J44" s="5" t="s">
        <v>1189</v>
      </c>
    </row>
    <row r="45" ht="15.75" customHeight="1">
      <c r="A45" s="4" t="s">
        <v>1210</v>
      </c>
      <c r="B45" s="5" t="s">
        <v>1211</v>
      </c>
      <c r="C45" s="5" t="s">
        <v>1212</v>
      </c>
      <c r="D45" s="5" t="s">
        <v>1213</v>
      </c>
      <c r="E45" s="5" t="s">
        <v>1214</v>
      </c>
      <c r="F45" s="5" t="s">
        <v>1215</v>
      </c>
      <c r="G45" s="5" t="s">
        <v>17</v>
      </c>
      <c r="H45" s="5">
        <v>1971.0</v>
      </c>
      <c r="I45" s="5" t="s">
        <v>18</v>
      </c>
      <c r="J45" s="5" t="s">
        <v>856</v>
      </c>
    </row>
    <row r="46" ht="15.75" customHeight="1">
      <c r="A46" s="4" t="s">
        <v>1216</v>
      </c>
      <c r="B46" s="5" t="s">
        <v>1067</v>
      </c>
      <c r="C46" s="5" t="s">
        <v>1217</v>
      </c>
      <c r="D46" s="5" t="s">
        <v>1218</v>
      </c>
      <c r="E46" s="5" t="s">
        <v>1219</v>
      </c>
      <c r="F46" s="5" t="s">
        <v>1220</v>
      </c>
      <c r="G46" s="5" t="s">
        <v>40</v>
      </c>
      <c r="H46" s="5">
        <v>1974.0</v>
      </c>
      <c r="I46" s="5" t="s">
        <v>18</v>
      </c>
      <c r="J46" s="5" t="s">
        <v>856</v>
      </c>
    </row>
    <row r="47" ht="15.75" customHeight="1">
      <c r="A47" s="4" t="s">
        <v>1221</v>
      </c>
      <c r="B47" s="5" t="s">
        <v>1222</v>
      </c>
      <c r="C47" s="5" t="s">
        <v>1174</v>
      </c>
      <c r="D47" s="5" t="s">
        <v>1175</v>
      </c>
      <c r="E47" s="5" t="s">
        <v>1176</v>
      </c>
      <c r="F47" s="5" t="s">
        <v>1177</v>
      </c>
      <c r="G47" s="5" t="s">
        <v>40</v>
      </c>
      <c r="H47" s="5">
        <v>1968.0</v>
      </c>
      <c r="I47" s="5" t="s">
        <v>870</v>
      </c>
      <c r="J47" s="5" t="s">
        <v>86</v>
      </c>
    </row>
    <row r="48" ht="15.75" customHeight="1">
      <c r="A48" s="4" t="s">
        <v>1223</v>
      </c>
      <c r="B48" s="5" t="s">
        <v>1224</v>
      </c>
      <c r="C48" s="5" t="s">
        <v>1225</v>
      </c>
      <c r="D48" s="5" t="s">
        <v>1226</v>
      </c>
      <c r="E48" s="6"/>
      <c r="F48" s="5" t="s">
        <v>1227</v>
      </c>
      <c r="G48" s="5" t="s">
        <v>17</v>
      </c>
      <c r="H48" s="5">
        <v>1958.0</v>
      </c>
      <c r="I48" s="5" t="s">
        <v>70</v>
      </c>
      <c r="J48" s="5" t="s">
        <v>212</v>
      </c>
    </row>
    <row r="49" ht="15.75" customHeight="1">
      <c r="A49" s="4" t="s">
        <v>1228</v>
      </c>
      <c r="B49" s="5" t="s">
        <v>1229</v>
      </c>
      <c r="C49" s="5" t="s">
        <v>1230</v>
      </c>
      <c r="D49" s="5" t="s">
        <v>1231</v>
      </c>
      <c r="E49" s="5" t="s">
        <v>1232</v>
      </c>
      <c r="F49" s="5" t="s">
        <v>1233</v>
      </c>
      <c r="G49" s="5" t="s">
        <v>40</v>
      </c>
      <c r="H49" s="5">
        <v>1982.0</v>
      </c>
      <c r="I49" s="5" t="s">
        <v>18</v>
      </c>
      <c r="J49" s="5" t="s">
        <v>212</v>
      </c>
    </row>
    <row r="50" ht="15.75" customHeight="1">
      <c r="A50" s="4" t="s">
        <v>1234</v>
      </c>
      <c r="B50" s="5" t="s">
        <v>1235</v>
      </c>
      <c r="C50" s="5" t="s">
        <v>1236</v>
      </c>
      <c r="D50" s="6"/>
      <c r="E50" s="5" t="s">
        <v>1237</v>
      </c>
      <c r="F50" s="5" t="s">
        <v>1238</v>
      </c>
      <c r="G50" s="6"/>
      <c r="H50" s="5">
        <v>0.0</v>
      </c>
      <c r="I50" s="5" t="s">
        <v>18</v>
      </c>
      <c r="J50" s="5" t="s">
        <v>856</v>
      </c>
    </row>
    <row r="51" ht="15.75" customHeight="1">
      <c r="A51" s="4" t="s">
        <v>1239</v>
      </c>
      <c r="B51" s="5" t="s">
        <v>1240</v>
      </c>
      <c r="C51" s="5" t="s">
        <v>1241</v>
      </c>
      <c r="D51" s="5" t="s">
        <v>1242</v>
      </c>
      <c r="E51" s="6"/>
      <c r="F51" s="5">
        <v>9.04869999E8</v>
      </c>
      <c r="G51" s="5" t="s">
        <v>40</v>
      </c>
      <c r="H51" s="5">
        <v>1975.0</v>
      </c>
      <c r="I51" s="5" t="s">
        <v>18</v>
      </c>
      <c r="J51" s="5" t="s">
        <v>107</v>
      </c>
    </row>
    <row r="52" ht="15.75" customHeight="1">
      <c r="A52" s="4" t="s">
        <v>1243</v>
      </c>
      <c r="B52" s="5" t="s">
        <v>1244</v>
      </c>
      <c r="C52" s="5" t="s">
        <v>1245</v>
      </c>
      <c r="D52" s="5" t="s">
        <v>1246</v>
      </c>
      <c r="E52" s="6"/>
      <c r="F52" s="5" t="s">
        <v>1247</v>
      </c>
      <c r="G52" s="5" t="s">
        <v>17</v>
      </c>
      <c r="H52" s="5">
        <v>1975.0</v>
      </c>
      <c r="I52" s="5" t="s">
        <v>18</v>
      </c>
      <c r="J52" s="5" t="s">
        <v>107</v>
      </c>
    </row>
    <row r="53" ht="15.75" customHeight="1">
      <c r="A53" s="4" t="s">
        <v>1248</v>
      </c>
      <c r="B53" s="5" t="s">
        <v>1249</v>
      </c>
      <c r="C53" s="5" t="s">
        <v>1250</v>
      </c>
      <c r="D53" s="5" t="s">
        <v>1251</v>
      </c>
      <c r="E53" s="6"/>
      <c r="F53" s="5">
        <v>9.03955055E8</v>
      </c>
      <c r="G53" s="5" t="s">
        <v>40</v>
      </c>
      <c r="H53" s="5">
        <v>1976.0</v>
      </c>
      <c r="I53" s="5" t="s">
        <v>18</v>
      </c>
      <c r="J53" s="5" t="s">
        <v>56</v>
      </c>
    </row>
    <row r="54" ht="15.75" customHeight="1">
      <c r="A54" s="4" t="s">
        <v>1252</v>
      </c>
      <c r="B54" s="5" t="s">
        <v>1253</v>
      </c>
      <c r="C54" s="5" t="s">
        <v>1254</v>
      </c>
      <c r="D54" s="6"/>
      <c r="E54" s="6"/>
      <c r="F54" s="5">
        <v>6.502220341E9</v>
      </c>
      <c r="G54" s="5" t="s">
        <v>17</v>
      </c>
      <c r="H54" s="5">
        <v>1981.0</v>
      </c>
      <c r="I54" s="5" t="s">
        <v>18</v>
      </c>
      <c r="J54" s="5" t="s">
        <v>1036</v>
      </c>
    </row>
    <row r="55" ht="15.75" customHeight="1">
      <c r="A55" s="4" t="s">
        <v>1255</v>
      </c>
      <c r="B55" s="5" t="s">
        <v>1256</v>
      </c>
      <c r="C55" s="5" t="s">
        <v>1257</v>
      </c>
      <c r="D55" s="5" t="s">
        <v>1258</v>
      </c>
      <c r="E55" s="5" t="s">
        <v>1259</v>
      </c>
      <c r="F55" s="5" t="s">
        <v>1260</v>
      </c>
      <c r="G55" s="5" t="s">
        <v>17</v>
      </c>
      <c r="H55" s="5">
        <v>1968.0</v>
      </c>
      <c r="I55" s="5" t="s">
        <v>18</v>
      </c>
      <c r="J55" s="5" t="s">
        <v>107</v>
      </c>
    </row>
    <row r="56" ht="15.75" customHeight="1">
      <c r="A56" s="4" t="s">
        <v>1261</v>
      </c>
      <c r="B56" s="5" t="s">
        <v>1262</v>
      </c>
      <c r="C56" s="5" t="s">
        <v>1263</v>
      </c>
      <c r="D56" s="5" t="s">
        <v>1264</v>
      </c>
      <c r="E56" s="6"/>
      <c r="F56" s="5" t="s">
        <v>1265</v>
      </c>
      <c r="G56" s="6"/>
      <c r="H56" s="5">
        <v>0.0</v>
      </c>
      <c r="I56" s="5" t="s">
        <v>188</v>
      </c>
      <c r="J56" s="5" t="s">
        <v>1266</v>
      </c>
    </row>
    <row r="57" ht="15.75" customHeight="1">
      <c r="A57" s="4" t="s">
        <v>1267</v>
      </c>
      <c r="B57" s="5" t="s">
        <v>1268</v>
      </c>
      <c r="C57" s="5" t="s">
        <v>1269</v>
      </c>
      <c r="D57" s="5" t="s">
        <v>1270</v>
      </c>
      <c r="E57" s="6"/>
      <c r="F57" s="5" t="s">
        <v>1271</v>
      </c>
      <c r="G57" s="5" t="s">
        <v>17</v>
      </c>
      <c r="H57" s="5">
        <v>1970.0</v>
      </c>
      <c r="I57" s="5" t="s">
        <v>18</v>
      </c>
      <c r="J57" s="5" t="s">
        <v>107</v>
      </c>
    </row>
    <row r="58" ht="15.75" customHeight="1">
      <c r="A58" s="4" t="s">
        <v>1272</v>
      </c>
      <c r="B58" s="5" t="s">
        <v>1273</v>
      </c>
      <c r="C58" s="5" t="s">
        <v>1274</v>
      </c>
      <c r="D58" s="5" t="s">
        <v>1275</v>
      </c>
      <c r="E58" s="6"/>
      <c r="F58" s="5" t="s">
        <v>1276</v>
      </c>
      <c r="G58" s="5" t="s">
        <v>17</v>
      </c>
      <c r="H58" s="5">
        <v>1957.0</v>
      </c>
      <c r="I58" s="5" t="s">
        <v>70</v>
      </c>
      <c r="J58" s="5" t="s">
        <v>1277</v>
      </c>
    </row>
    <row r="59" ht="15.75" customHeight="1">
      <c r="A59" s="4" t="s">
        <v>1278</v>
      </c>
      <c r="B59" s="5" t="s">
        <v>1279</v>
      </c>
      <c r="C59" s="5" t="s">
        <v>1280</v>
      </c>
      <c r="D59" s="5" t="s">
        <v>1281</v>
      </c>
      <c r="E59" s="6"/>
      <c r="F59" s="5">
        <v>9.06336887E8</v>
      </c>
      <c r="G59" s="5" t="s">
        <v>40</v>
      </c>
      <c r="H59" s="5">
        <v>1974.0</v>
      </c>
      <c r="I59" s="5" t="s">
        <v>18</v>
      </c>
      <c r="J59" s="5" t="s">
        <v>212</v>
      </c>
    </row>
    <row r="60" ht="15.75" customHeight="1">
      <c r="A60" s="4" t="s">
        <v>1282</v>
      </c>
      <c r="B60" s="5" t="s">
        <v>1283</v>
      </c>
      <c r="C60" s="5" t="s">
        <v>1284</v>
      </c>
      <c r="D60" s="5" t="s">
        <v>1285</v>
      </c>
      <c r="E60" s="6"/>
      <c r="F60" s="5" t="s">
        <v>1286</v>
      </c>
      <c r="G60" s="5" t="s">
        <v>40</v>
      </c>
      <c r="H60" s="5">
        <v>1984.0</v>
      </c>
      <c r="I60" s="5" t="s">
        <v>18</v>
      </c>
      <c r="J60" s="5" t="s">
        <v>107</v>
      </c>
    </row>
    <row r="61" ht="15.75" customHeight="1">
      <c r="A61" s="4" t="s">
        <v>1287</v>
      </c>
      <c r="B61" s="5" t="s">
        <v>1288</v>
      </c>
      <c r="C61" s="5" t="s">
        <v>1289</v>
      </c>
      <c r="D61" s="5" t="s">
        <v>1290</v>
      </c>
      <c r="E61" s="5" t="s">
        <v>1291</v>
      </c>
      <c r="F61" s="5" t="s">
        <v>1292</v>
      </c>
      <c r="G61" s="6"/>
      <c r="H61" s="5">
        <v>0.0</v>
      </c>
      <c r="I61" s="5" t="s">
        <v>18</v>
      </c>
      <c r="J61" s="5" t="s">
        <v>107</v>
      </c>
    </row>
    <row r="62" ht="15.75" customHeight="1">
      <c r="A62" s="4" t="s">
        <v>1293</v>
      </c>
      <c r="B62" s="5" t="s">
        <v>1294</v>
      </c>
      <c r="C62" s="5" t="s">
        <v>1295</v>
      </c>
      <c r="D62" s="5" t="s">
        <v>1296</v>
      </c>
      <c r="E62" s="6"/>
      <c r="F62" s="5" t="s">
        <v>1297</v>
      </c>
      <c r="G62" s="5" t="s">
        <v>40</v>
      </c>
      <c r="H62" s="5">
        <v>1975.0</v>
      </c>
      <c r="I62" s="5" t="s">
        <v>18</v>
      </c>
      <c r="J62" s="5" t="s">
        <v>534</v>
      </c>
    </row>
    <row r="63" ht="15.75" customHeight="1">
      <c r="A63" s="4" t="s">
        <v>1298</v>
      </c>
      <c r="B63" s="5" t="s">
        <v>1299</v>
      </c>
      <c r="C63" s="5" t="s">
        <v>1107</v>
      </c>
      <c r="D63" s="5" t="s">
        <v>1108</v>
      </c>
      <c r="E63" s="5" t="s">
        <v>1109</v>
      </c>
      <c r="F63" s="6"/>
      <c r="G63" s="5" t="s">
        <v>17</v>
      </c>
      <c r="H63" s="5">
        <v>0.0</v>
      </c>
      <c r="I63" s="5" t="s">
        <v>188</v>
      </c>
      <c r="J63" s="5" t="s">
        <v>107</v>
      </c>
    </row>
    <row r="64" ht="15.75" customHeight="1">
      <c r="A64" s="4" t="s">
        <v>1300</v>
      </c>
      <c r="B64" s="5" t="s">
        <v>1301</v>
      </c>
      <c r="C64" s="5" t="s">
        <v>1302</v>
      </c>
      <c r="D64" s="5" t="s">
        <v>1303</v>
      </c>
      <c r="E64" s="6"/>
      <c r="F64" s="6"/>
      <c r="G64" s="5" t="s">
        <v>17</v>
      </c>
      <c r="H64" s="5">
        <v>1980.0</v>
      </c>
      <c r="I64" s="5" t="s">
        <v>18</v>
      </c>
      <c r="J64" s="5" t="s">
        <v>534</v>
      </c>
    </row>
    <row r="65" ht="15.75" customHeight="1">
      <c r="A65" s="4" t="s">
        <v>1304</v>
      </c>
      <c r="B65" s="5" t="s">
        <v>1305</v>
      </c>
      <c r="C65" s="5" t="s">
        <v>1306</v>
      </c>
      <c r="D65" s="5" t="s">
        <v>1307</v>
      </c>
      <c r="E65" s="5" t="s">
        <v>162</v>
      </c>
      <c r="F65" s="5" t="s">
        <v>162</v>
      </c>
      <c r="G65" s="5" t="s">
        <v>17</v>
      </c>
      <c r="H65" s="5">
        <v>1968.0</v>
      </c>
      <c r="I65" s="5" t="s">
        <v>70</v>
      </c>
      <c r="J65" s="5" t="s">
        <v>41</v>
      </c>
    </row>
    <row r="66" ht="15.75" customHeight="1">
      <c r="A66" s="4" t="s">
        <v>1308</v>
      </c>
      <c r="B66" s="5" t="s">
        <v>1309</v>
      </c>
      <c r="C66" s="5" t="s">
        <v>1143</v>
      </c>
      <c r="D66" s="5" t="s">
        <v>1144</v>
      </c>
      <c r="E66" s="5" t="s">
        <v>1145</v>
      </c>
      <c r="F66" s="5" t="s">
        <v>1146</v>
      </c>
      <c r="G66" s="5" t="s">
        <v>17</v>
      </c>
      <c r="H66" s="5">
        <v>1967.0</v>
      </c>
      <c r="I66" s="5" t="s">
        <v>18</v>
      </c>
      <c r="J66" s="5" t="s">
        <v>212</v>
      </c>
    </row>
    <row r="67" ht="15.75" customHeight="1">
      <c r="A67" s="4" t="s">
        <v>1310</v>
      </c>
      <c r="B67" s="5" t="s">
        <v>1311</v>
      </c>
      <c r="C67" s="5" t="s">
        <v>1312</v>
      </c>
      <c r="D67" s="5" t="s">
        <v>1313</v>
      </c>
      <c r="E67" s="5" t="s">
        <v>1314</v>
      </c>
      <c r="F67" s="6"/>
      <c r="G67" s="5" t="s">
        <v>17</v>
      </c>
      <c r="H67" s="5">
        <v>1994.0</v>
      </c>
      <c r="I67" s="5" t="s">
        <v>18</v>
      </c>
      <c r="J67" s="5" t="s">
        <v>107</v>
      </c>
    </row>
    <row r="68" ht="15.75" customHeight="1">
      <c r="A68" s="4" t="s">
        <v>1315</v>
      </c>
      <c r="B68" s="5" t="s">
        <v>1316</v>
      </c>
      <c r="C68" s="5" t="s">
        <v>1317</v>
      </c>
      <c r="D68" s="5" t="s">
        <v>1318</v>
      </c>
      <c r="E68" s="6"/>
      <c r="F68" s="5" t="s">
        <v>1319</v>
      </c>
      <c r="G68" s="5" t="s">
        <v>40</v>
      </c>
      <c r="H68" s="5">
        <v>1984.0</v>
      </c>
      <c r="I68" s="5" t="s">
        <v>18</v>
      </c>
      <c r="J68" s="5" t="s">
        <v>534</v>
      </c>
    </row>
    <row r="69" ht="15.75" customHeight="1">
      <c r="A69" s="4" t="s">
        <v>1320</v>
      </c>
      <c r="B69" s="5" t="s">
        <v>1321</v>
      </c>
      <c r="C69" s="5" t="s">
        <v>1322</v>
      </c>
      <c r="D69" s="5" t="s">
        <v>1323</v>
      </c>
      <c r="E69" s="6"/>
      <c r="F69" s="5" t="s">
        <v>1324</v>
      </c>
      <c r="G69" s="5" t="s">
        <v>17</v>
      </c>
      <c r="H69" s="5">
        <v>1975.0</v>
      </c>
      <c r="I69" s="5" t="s">
        <v>18</v>
      </c>
      <c r="J69" s="5" t="s">
        <v>107</v>
      </c>
    </row>
    <row r="70" ht="15.75" customHeight="1">
      <c r="A70" s="4" t="s">
        <v>1325</v>
      </c>
      <c r="B70" s="5" t="s">
        <v>1326</v>
      </c>
      <c r="C70" s="5" t="s">
        <v>1327</v>
      </c>
      <c r="D70" s="5" t="s">
        <v>1328</v>
      </c>
      <c r="E70" s="6"/>
      <c r="F70" s="5" t="s">
        <v>1329</v>
      </c>
      <c r="G70" s="5" t="s">
        <v>17</v>
      </c>
      <c r="H70" s="5">
        <v>1965.0</v>
      </c>
      <c r="I70" s="5" t="s">
        <v>70</v>
      </c>
      <c r="J70" s="5" t="s">
        <v>1277</v>
      </c>
    </row>
    <row r="71" ht="15.75" customHeight="1">
      <c r="A71" s="4" t="s">
        <v>1330</v>
      </c>
      <c r="B71" s="5" t="s">
        <v>1331</v>
      </c>
      <c r="C71" s="5" t="s">
        <v>677</v>
      </c>
      <c r="D71" s="5" t="s">
        <v>678</v>
      </c>
      <c r="E71" s="5" t="s">
        <v>679</v>
      </c>
      <c r="F71" s="5" t="s">
        <v>680</v>
      </c>
      <c r="G71" s="5" t="s">
        <v>17</v>
      </c>
      <c r="H71" s="5">
        <v>1968.0</v>
      </c>
      <c r="I71" s="5" t="s">
        <v>70</v>
      </c>
      <c r="J71" s="5" t="s">
        <v>19</v>
      </c>
    </row>
    <row r="72" ht="15.75" customHeight="1">
      <c r="A72" s="4" t="s">
        <v>1332</v>
      </c>
      <c r="B72" s="5" t="s">
        <v>1333</v>
      </c>
      <c r="C72" s="5" t="s">
        <v>1334</v>
      </c>
      <c r="D72" s="5" t="s">
        <v>1335</v>
      </c>
      <c r="E72" s="6"/>
      <c r="F72" s="5" t="s">
        <v>1336</v>
      </c>
      <c r="G72" s="5" t="s">
        <v>17</v>
      </c>
      <c r="H72" s="5">
        <v>1950.0</v>
      </c>
      <c r="I72" s="5" t="s">
        <v>18</v>
      </c>
      <c r="J72" s="5" t="s">
        <v>1337</v>
      </c>
    </row>
    <row r="73" ht="15.75" customHeight="1">
      <c r="A73" s="4" t="s">
        <v>1338</v>
      </c>
      <c r="B73" s="5" t="s">
        <v>1339</v>
      </c>
      <c r="C73" s="5" t="s">
        <v>1340</v>
      </c>
      <c r="D73" s="6"/>
      <c r="E73" s="6"/>
      <c r="F73" s="5">
        <v>9.03757588E8</v>
      </c>
      <c r="G73" s="5" t="s">
        <v>17</v>
      </c>
      <c r="H73" s="5">
        <v>1958.0</v>
      </c>
      <c r="I73" s="5" t="s">
        <v>18</v>
      </c>
      <c r="J73" s="5" t="s">
        <v>856</v>
      </c>
    </row>
    <row r="74" ht="15.75" customHeight="1">
      <c r="A74" s="4" t="s">
        <v>1341</v>
      </c>
      <c r="B74" s="5" t="s">
        <v>1342</v>
      </c>
      <c r="C74" s="5" t="s">
        <v>1343</v>
      </c>
      <c r="D74" s="5" t="s">
        <v>1344</v>
      </c>
      <c r="E74" s="6"/>
      <c r="F74" s="5">
        <v>9.08085678E8</v>
      </c>
      <c r="G74" s="5" t="s">
        <v>40</v>
      </c>
      <c r="H74" s="5">
        <v>1978.0</v>
      </c>
      <c r="I74" s="5" t="s">
        <v>18</v>
      </c>
      <c r="J74" s="5" t="s">
        <v>1345</v>
      </c>
    </row>
    <row r="75" ht="15.75" customHeight="1">
      <c r="A75" s="4" t="s">
        <v>1346</v>
      </c>
      <c r="B75" s="5" t="s">
        <v>1347</v>
      </c>
      <c r="C75" s="5" t="s">
        <v>1348</v>
      </c>
      <c r="D75" s="5" t="s">
        <v>1349</v>
      </c>
      <c r="E75" s="5" t="s">
        <v>1350</v>
      </c>
      <c r="F75" s="5">
        <v>9.03728811E8</v>
      </c>
      <c r="G75" s="5" t="s">
        <v>17</v>
      </c>
      <c r="H75" s="5">
        <v>1973.0</v>
      </c>
      <c r="I75" s="5" t="s">
        <v>18</v>
      </c>
      <c r="J75" s="5" t="s">
        <v>56</v>
      </c>
    </row>
    <row r="76" ht="15.75" customHeight="1">
      <c r="A76" s="4" t="s">
        <v>1351</v>
      </c>
      <c r="B76" s="5" t="s">
        <v>1352</v>
      </c>
      <c r="C76" s="5" t="s">
        <v>1353</v>
      </c>
      <c r="D76" s="5" t="s">
        <v>1354</v>
      </c>
      <c r="E76" s="6"/>
      <c r="F76" s="5">
        <v>9.0373925E8</v>
      </c>
      <c r="G76" s="5" t="s">
        <v>40</v>
      </c>
      <c r="H76" s="5">
        <v>1993.0</v>
      </c>
      <c r="I76" s="5" t="s">
        <v>18</v>
      </c>
      <c r="J76" s="5" t="s">
        <v>856</v>
      </c>
    </row>
    <row r="77" ht="15.75" customHeight="1">
      <c r="A77" s="4" t="s">
        <v>1355</v>
      </c>
      <c r="B77" s="5" t="s">
        <v>1356</v>
      </c>
      <c r="C77" s="5" t="s">
        <v>1357</v>
      </c>
      <c r="D77" s="5" t="s">
        <v>1358</v>
      </c>
      <c r="E77" s="6"/>
      <c r="F77" s="5">
        <v>9.08051072E8</v>
      </c>
      <c r="G77" s="5" t="s">
        <v>40</v>
      </c>
      <c r="H77" s="5">
        <v>1972.0</v>
      </c>
      <c r="I77" s="5" t="s">
        <v>18</v>
      </c>
      <c r="J77" s="5" t="s">
        <v>56</v>
      </c>
    </row>
    <row r="78" ht="15.75" customHeight="1">
      <c r="A78" s="4" t="s">
        <v>1359</v>
      </c>
      <c r="B78" s="5" t="s">
        <v>1360</v>
      </c>
      <c r="C78" s="5" t="s">
        <v>1361</v>
      </c>
      <c r="D78" s="5" t="s">
        <v>1362</v>
      </c>
      <c r="E78" s="5">
        <v>3930.0688</v>
      </c>
      <c r="F78" s="5">
        <v>9.08106866E8</v>
      </c>
      <c r="G78" s="5" t="s">
        <v>17</v>
      </c>
      <c r="H78" s="5">
        <v>1952.0</v>
      </c>
      <c r="I78" s="5" t="s">
        <v>870</v>
      </c>
      <c r="J78" s="5" t="s">
        <v>212</v>
      </c>
    </row>
    <row r="79" ht="15.75" customHeight="1">
      <c r="A79" s="4" t="s">
        <v>1363</v>
      </c>
      <c r="B79" s="5" t="s">
        <v>1364</v>
      </c>
      <c r="C79" s="5" t="s">
        <v>164</v>
      </c>
      <c r="D79" s="5" t="s">
        <v>1365</v>
      </c>
      <c r="E79" s="6"/>
      <c r="F79" s="5" t="s">
        <v>1366</v>
      </c>
      <c r="G79" s="5" t="s">
        <v>40</v>
      </c>
      <c r="H79" s="5">
        <v>1986.0</v>
      </c>
      <c r="I79" s="5" t="s">
        <v>18</v>
      </c>
      <c r="J79" s="5" t="s">
        <v>971</v>
      </c>
    </row>
    <row r="80" ht="15.75" customHeight="1">
      <c r="A80" s="4" t="s">
        <v>1367</v>
      </c>
      <c r="B80" s="5" t="s">
        <v>1368</v>
      </c>
      <c r="C80" s="5" t="s">
        <v>1369</v>
      </c>
      <c r="D80" s="5" t="s">
        <v>1370</v>
      </c>
      <c r="E80" s="6"/>
      <c r="F80" s="5" t="s">
        <v>1371</v>
      </c>
      <c r="G80" s="5" t="s">
        <v>17</v>
      </c>
      <c r="H80" s="5">
        <v>1978.0</v>
      </c>
      <c r="I80" s="5" t="s">
        <v>18</v>
      </c>
      <c r="J80" s="5" t="s">
        <v>107</v>
      </c>
    </row>
    <row r="81" ht="15.75" customHeight="1">
      <c r="A81" s="4" t="s">
        <v>1372</v>
      </c>
      <c r="B81" s="5" t="s">
        <v>1373</v>
      </c>
      <c r="C81" s="5" t="s">
        <v>1374</v>
      </c>
      <c r="D81" s="5" t="s">
        <v>1375</v>
      </c>
      <c r="E81" s="6"/>
      <c r="F81" s="5" t="s">
        <v>1376</v>
      </c>
      <c r="G81" s="5" t="s">
        <v>40</v>
      </c>
      <c r="H81" s="5">
        <v>1980.0</v>
      </c>
      <c r="I81" s="5" t="s">
        <v>18</v>
      </c>
      <c r="J81" s="5" t="s">
        <v>107</v>
      </c>
    </row>
    <row r="82" ht="15.75" customHeight="1">
      <c r="A82" s="4" t="s">
        <v>1377</v>
      </c>
      <c r="B82" s="5" t="s">
        <v>1378</v>
      </c>
      <c r="C82" s="5" t="s">
        <v>1379</v>
      </c>
      <c r="D82" s="5" t="s">
        <v>1380</v>
      </c>
      <c r="E82" s="6"/>
      <c r="F82" s="5">
        <v>9.0381049E8</v>
      </c>
      <c r="G82" s="5" t="s">
        <v>40</v>
      </c>
      <c r="H82" s="5">
        <v>1962.0</v>
      </c>
      <c r="I82" s="5" t="s">
        <v>18</v>
      </c>
      <c r="J82" s="5" t="s">
        <v>86</v>
      </c>
    </row>
    <row r="83" ht="15.75" customHeight="1">
      <c r="A83" s="4" t="s">
        <v>1381</v>
      </c>
      <c r="B83" s="5" t="s">
        <v>1382</v>
      </c>
      <c r="C83" s="5" t="s">
        <v>1383</v>
      </c>
      <c r="D83" s="5" t="s">
        <v>1384</v>
      </c>
      <c r="E83" s="5" t="s">
        <v>162</v>
      </c>
      <c r="F83" s="5" t="s">
        <v>162</v>
      </c>
      <c r="G83" s="5" t="s">
        <v>17</v>
      </c>
      <c r="H83" s="5">
        <v>1953.0</v>
      </c>
      <c r="I83" s="5" t="s">
        <v>70</v>
      </c>
      <c r="J83" s="5" t="s">
        <v>107</v>
      </c>
    </row>
    <row r="84" ht="15.75" customHeight="1">
      <c r="A84" s="4" t="s">
        <v>1385</v>
      </c>
      <c r="B84" s="5" t="s">
        <v>1326</v>
      </c>
      <c r="C84" s="5" t="s">
        <v>1386</v>
      </c>
      <c r="D84" s="5" t="s">
        <v>1387</v>
      </c>
      <c r="E84" s="6"/>
      <c r="F84" s="5" t="s">
        <v>1388</v>
      </c>
      <c r="G84" s="5" t="s">
        <v>17</v>
      </c>
      <c r="H84" s="5">
        <v>1958.0</v>
      </c>
      <c r="I84" s="5" t="s">
        <v>70</v>
      </c>
      <c r="J84" s="5" t="s">
        <v>1277</v>
      </c>
    </row>
    <row r="85" ht="15.75" customHeight="1">
      <c r="A85" s="4" t="s">
        <v>1389</v>
      </c>
      <c r="B85" s="5" t="s">
        <v>1390</v>
      </c>
      <c r="C85" s="5" t="s">
        <v>1391</v>
      </c>
      <c r="D85" s="5" t="s">
        <v>1392</v>
      </c>
      <c r="E85" s="5" t="s">
        <v>1393</v>
      </c>
      <c r="F85" s="5" t="s">
        <v>1394</v>
      </c>
      <c r="G85" s="6"/>
      <c r="H85" s="5">
        <v>0.0</v>
      </c>
      <c r="I85" s="5" t="s">
        <v>18</v>
      </c>
      <c r="J85" s="5" t="s">
        <v>1048</v>
      </c>
    </row>
    <row r="86" ht="15.75" customHeight="1">
      <c r="A86" s="4" t="s">
        <v>1395</v>
      </c>
      <c r="B86" s="5" t="s">
        <v>1342</v>
      </c>
      <c r="C86" s="5" t="s">
        <v>1396</v>
      </c>
      <c r="D86" s="5" t="s">
        <v>1397</v>
      </c>
      <c r="E86" s="6"/>
      <c r="F86" s="5" t="s">
        <v>1398</v>
      </c>
      <c r="G86" s="5" t="s">
        <v>40</v>
      </c>
      <c r="H86" s="5">
        <v>1972.0</v>
      </c>
      <c r="I86" s="5" t="s">
        <v>18</v>
      </c>
      <c r="J86" s="5" t="s">
        <v>1399</v>
      </c>
    </row>
    <row r="87" ht="15.75" customHeight="1">
      <c r="A87" s="4" t="s">
        <v>1400</v>
      </c>
      <c r="B87" s="5" t="s">
        <v>1401</v>
      </c>
      <c r="C87" s="5" t="s">
        <v>1402</v>
      </c>
      <c r="D87" s="5" t="s">
        <v>1403</v>
      </c>
      <c r="E87" s="6"/>
      <c r="F87" s="5" t="s">
        <v>1404</v>
      </c>
      <c r="G87" s="5" t="s">
        <v>40</v>
      </c>
      <c r="H87" s="5">
        <v>1977.0</v>
      </c>
      <c r="I87" s="5" t="s">
        <v>18</v>
      </c>
      <c r="J87" s="5" t="s">
        <v>107</v>
      </c>
    </row>
    <row r="88" ht="15.75" customHeight="1">
      <c r="A88" s="4" t="s">
        <v>1405</v>
      </c>
      <c r="B88" s="5" t="s">
        <v>1406</v>
      </c>
      <c r="C88" s="5" t="s">
        <v>1407</v>
      </c>
      <c r="D88" s="5" t="s">
        <v>1408</v>
      </c>
      <c r="E88" s="5" t="s">
        <v>1171</v>
      </c>
      <c r="F88" s="5" t="s">
        <v>1409</v>
      </c>
      <c r="G88" s="5" t="s">
        <v>40</v>
      </c>
      <c r="H88" s="5">
        <v>1984.0</v>
      </c>
      <c r="I88" s="5" t="s">
        <v>18</v>
      </c>
      <c r="J88" s="5" t="s">
        <v>534</v>
      </c>
    </row>
    <row r="89" ht="15.75" customHeight="1">
      <c r="A89" s="4" t="s">
        <v>1410</v>
      </c>
      <c r="B89" s="5" t="s">
        <v>1411</v>
      </c>
      <c r="C89" s="5" t="s">
        <v>1289</v>
      </c>
      <c r="D89" s="5" t="s">
        <v>1290</v>
      </c>
      <c r="E89" s="5" t="s">
        <v>1291</v>
      </c>
      <c r="F89" s="5" t="s">
        <v>1292</v>
      </c>
      <c r="G89" s="6"/>
      <c r="H89" s="5">
        <v>0.0</v>
      </c>
      <c r="I89" s="5" t="s">
        <v>18</v>
      </c>
      <c r="J89" s="5" t="s">
        <v>107</v>
      </c>
    </row>
    <row r="90" ht="15.75" customHeight="1">
      <c r="A90" s="4" t="s">
        <v>1412</v>
      </c>
      <c r="B90" s="5" t="s">
        <v>1413</v>
      </c>
      <c r="C90" s="5" t="s">
        <v>1414</v>
      </c>
      <c r="D90" s="5" t="s">
        <v>1415</v>
      </c>
      <c r="E90" s="6"/>
      <c r="F90" s="5" t="s">
        <v>1416</v>
      </c>
      <c r="G90" s="5" t="s">
        <v>40</v>
      </c>
      <c r="H90" s="5">
        <v>1963.0</v>
      </c>
      <c r="I90" s="5" t="s">
        <v>18</v>
      </c>
      <c r="J90" s="5" t="s">
        <v>107</v>
      </c>
    </row>
    <row r="91" ht="15.75" customHeight="1">
      <c r="A91" s="4" t="s">
        <v>1417</v>
      </c>
      <c r="B91" s="5" t="s">
        <v>1418</v>
      </c>
      <c r="C91" s="5" t="s">
        <v>1230</v>
      </c>
      <c r="D91" s="5" t="s">
        <v>1231</v>
      </c>
      <c r="E91" s="5" t="s">
        <v>1232</v>
      </c>
      <c r="F91" s="5" t="s">
        <v>1233</v>
      </c>
      <c r="G91" s="5" t="s">
        <v>40</v>
      </c>
      <c r="H91" s="5">
        <v>1982.0</v>
      </c>
      <c r="I91" s="5" t="s">
        <v>18</v>
      </c>
      <c r="J91" s="5" t="s">
        <v>1036</v>
      </c>
    </row>
    <row r="92" ht="15.75" customHeight="1">
      <c r="A92" s="4" t="s">
        <v>1419</v>
      </c>
      <c r="B92" s="5" t="s">
        <v>1420</v>
      </c>
      <c r="C92" s="5" t="s">
        <v>1421</v>
      </c>
      <c r="D92" s="5" t="s">
        <v>1422</v>
      </c>
      <c r="E92" s="5" t="s">
        <v>1423</v>
      </c>
      <c r="F92" s="5" t="s">
        <v>1424</v>
      </c>
      <c r="G92" s="6"/>
      <c r="H92" s="5">
        <v>0.0</v>
      </c>
      <c r="I92" s="5" t="s">
        <v>18</v>
      </c>
      <c r="J92" s="5" t="s">
        <v>1425</v>
      </c>
    </row>
    <row r="93" ht="15.75" customHeight="1">
      <c r="A93" s="4" t="s">
        <v>1426</v>
      </c>
      <c r="B93" s="5" t="s">
        <v>1413</v>
      </c>
      <c r="C93" s="5" t="s">
        <v>1427</v>
      </c>
      <c r="D93" s="5" t="s">
        <v>1428</v>
      </c>
      <c r="E93" s="6"/>
      <c r="F93" s="5" t="s">
        <v>162</v>
      </c>
      <c r="G93" s="5" t="s">
        <v>17</v>
      </c>
      <c r="H93" s="5">
        <v>1954.0</v>
      </c>
      <c r="I93" s="5" t="s">
        <v>70</v>
      </c>
      <c r="J93" s="5" t="s">
        <v>107</v>
      </c>
    </row>
    <row r="94" ht="15.75" customHeight="1">
      <c r="A94" s="4" t="s">
        <v>1429</v>
      </c>
      <c r="B94" s="5" t="s">
        <v>1411</v>
      </c>
      <c r="C94" s="5" t="s">
        <v>1430</v>
      </c>
      <c r="D94" s="5" t="s">
        <v>361</v>
      </c>
      <c r="E94" s="6"/>
      <c r="F94" s="5" t="s">
        <v>1431</v>
      </c>
      <c r="G94" s="5" t="s">
        <v>40</v>
      </c>
      <c r="H94" s="5">
        <v>1996.0</v>
      </c>
      <c r="I94" s="5" t="s">
        <v>18</v>
      </c>
      <c r="J94" s="5" t="s">
        <v>1399</v>
      </c>
    </row>
    <row r="95" ht="15.75" customHeight="1">
      <c r="A95" s="4" t="s">
        <v>1432</v>
      </c>
      <c r="B95" s="5" t="s">
        <v>1433</v>
      </c>
      <c r="C95" s="5" t="s">
        <v>1434</v>
      </c>
      <c r="D95" s="5" t="s">
        <v>1290</v>
      </c>
      <c r="E95" s="5" t="s">
        <v>1435</v>
      </c>
      <c r="F95" s="5" t="s">
        <v>1292</v>
      </c>
      <c r="G95" s="6"/>
      <c r="H95" s="5">
        <v>0.0</v>
      </c>
      <c r="I95" s="5" t="s">
        <v>188</v>
      </c>
      <c r="J95" s="5" t="s">
        <v>107</v>
      </c>
    </row>
    <row r="96" ht="15.75" customHeight="1">
      <c r="A96" s="4" t="s">
        <v>1436</v>
      </c>
      <c r="B96" s="5" t="s">
        <v>1437</v>
      </c>
      <c r="C96" s="5" t="s">
        <v>1438</v>
      </c>
      <c r="D96" s="5" t="s">
        <v>1439</v>
      </c>
      <c r="E96" s="6"/>
      <c r="F96" s="5" t="s">
        <v>1440</v>
      </c>
      <c r="G96" s="5" t="s">
        <v>17</v>
      </c>
      <c r="H96" s="5">
        <v>1970.0</v>
      </c>
      <c r="I96" s="5" t="s">
        <v>188</v>
      </c>
      <c r="J96" s="5" t="s">
        <v>107</v>
      </c>
    </row>
    <row r="97" ht="15.75" customHeight="1">
      <c r="A97" s="4" t="s">
        <v>1441</v>
      </c>
      <c r="B97" s="5" t="s">
        <v>1433</v>
      </c>
      <c r="C97" s="5" t="s">
        <v>1241</v>
      </c>
      <c r="D97" s="5" t="s">
        <v>1242</v>
      </c>
      <c r="E97" s="6"/>
      <c r="F97" s="5">
        <v>9.04869999E8</v>
      </c>
      <c r="G97" s="5" t="s">
        <v>40</v>
      </c>
      <c r="H97" s="5">
        <v>1975.0</v>
      </c>
      <c r="I97" s="5" t="s">
        <v>18</v>
      </c>
      <c r="J97" s="5" t="s">
        <v>107</v>
      </c>
    </row>
    <row r="98" ht="15.75" customHeight="1">
      <c r="A98" s="4" t="s">
        <v>1442</v>
      </c>
      <c r="B98" s="5" t="s">
        <v>1443</v>
      </c>
      <c r="C98" s="5" t="s">
        <v>1444</v>
      </c>
      <c r="D98" s="5" t="s">
        <v>1445</v>
      </c>
      <c r="E98" s="5" t="s">
        <v>1446</v>
      </c>
      <c r="F98" s="5" t="s">
        <v>1447</v>
      </c>
      <c r="G98" s="5" t="s">
        <v>17</v>
      </c>
      <c r="H98" s="5">
        <v>1974.0</v>
      </c>
      <c r="I98" s="5" t="s">
        <v>18</v>
      </c>
      <c r="J98" s="5" t="s">
        <v>107</v>
      </c>
    </row>
    <row r="99" ht="15.75" customHeight="1">
      <c r="A99" s="4" t="s">
        <v>1448</v>
      </c>
      <c r="B99" s="5" t="s">
        <v>591</v>
      </c>
      <c r="C99" s="5" t="s">
        <v>1449</v>
      </c>
      <c r="D99" s="6"/>
      <c r="E99" s="5" t="s">
        <v>1450</v>
      </c>
      <c r="F99" s="5">
        <v>9.03043962E8</v>
      </c>
      <c r="G99" s="5" t="s">
        <v>40</v>
      </c>
      <c r="H99" s="5">
        <v>1956.0</v>
      </c>
      <c r="I99" s="5" t="s">
        <v>18</v>
      </c>
      <c r="J99" s="5" t="s">
        <v>56</v>
      </c>
    </row>
    <row r="100" ht="15.75" customHeight="1">
      <c r="A100" s="4" t="s">
        <v>1451</v>
      </c>
      <c r="B100" s="5" t="s">
        <v>1443</v>
      </c>
      <c r="C100" s="5" t="s">
        <v>1452</v>
      </c>
      <c r="D100" s="5" t="s">
        <v>1453</v>
      </c>
      <c r="E100" s="5">
        <v>9.09899834E8</v>
      </c>
      <c r="F100" s="6"/>
      <c r="G100" s="5" t="s">
        <v>17</v>
      </c>
      <c r="H100" s="5">
        <v>1977.0</v>
      </c>
      <c r="I100" s="5" t="s">
        <v>70</v>
      </c>
      <c r="J100" s="5" t="s">
        <v>856</v>
      </c>
    </row>
    <row r="101" ht="15.75" customHeight="1">
      <c r="A101" s="4" t="s">
        <v>1454</v>
      </c>
      <c r="B101" s="5" t="s">
        <v>1455</v>
      </c>
      <c r="C101" s="5" t="s">
        <v>1456</v>
      </c>
      <c r="D101" s="5" t="s">
        <v>1457</v>
      </c>
      <c r="E101" s="5" t="s">
        <v>1458</v>
      </c>
      <c r="F101" s="5">
        <v>9.02713857E8</v>
      </c>
      <c r="G101" s="5" t="s">
        <v>40</v>
      </c>
      <c r="H101" s="5">
        <v>1969.0</v>
      </c>
      <c r="I101" s="5" t="s">
        <v>18</v>
      </c>
      <c r="J101" s="5" t="s">
        <v>86</v>
      </c>
    </row>
    <row r="102" ht="15.75" customHeight="1">
      <c r="A102" s="4" t="s">
        <v>1459</v>
      </c>
      <c r="B102" s="5" t="s">
        <v>1460</v>
      </c>
      <c r="C102" s="5" t="s">
        <v>1461</v>
      </c>
      <c r="D102" s="5" t="s">
        <v>1462</v>
      </c>
      <c r="E102" s="6"/>
      <c r="F102" s="5">
        <v>1.239253091E9</v>
      </c>
      <c r="G102" s="5" t="s">
        <v>40</v>
      </c>
      <c r="H102" s="5">
        <v>1973.0</v>
      </c>
      <c r="I102" s="5" t="s">
        <v>70</v>
      </c>
      <c r="J102" s="5" t="s">
        <v>856</v>
      </c>
    </row>
    <row r="103" ht="15.75" customHeight="1">
      <c r="A103" s="4" t="s">
        <v>1463</v>
      </c>
      <c r="B103" s="5" t="s">
        <v>1464</v>
      </c>
      <c r="C103" s="5" t="s">
        <v>1465</v>
      </c>
      <c r="D103" s="5" t="s">
        <v>1466</v>
      </c>
      <c r="E103" s="6"/>
      <c r="F103" s="5">
        <v>9.83393968E8</v>
      </c>
      <c r="G103" s="5" t="s">
        <v>40</v>
      </c>
      <c r="H103" s="5">
        <v>1979.0</v>
      </c>
      <c r="I103" s="5" t="s">
        <v>18</v>
      </c>
      <c r="J103" s="5" t="s">
        <v>56</v>
      </c>
    </row>
    <row r="104" ht="15.75" customHeight="1">
      <c r="A104" s="4" t="s">
        <v>1467</v>
      </c>
      <c r="B104" s="5" t="s">
        <v>1460</v>
      </c>
      <c r="C104" s="5" t="s">
        <v>1468</v>
      </c>
      <c r="D104" s="5" t="s">
        <v>1469</v>
      </c>
      <c r="E104" s="6"/>
      <c r="F104" s="5">
        <v>9.13234818E8</v>
      </c>
      <c r="G104" s="5" t="s">
        <v>17</v>
      </c>
      <c r="H104" s="5">
        <v>1974.0</v>
      </c>
      <c r="I104" s="5" t="s">
        <v>18</v>
      </c>
      <c r="J104" s="5" t="s">
        <v>1189</v>
      </c>
    </row>
    <row r="105" ht="15.75" customHeight="1">
      <c r="A105" s="4" t="s">
        <v>1470</v>
      </c>
      <c r="B105" s="5" t="s">
        <v>1471</v>
      </c>
      <c r="C105" s="5" t="s">
        <v>1472</v>
      </c>
      <c r="D105" s="5" t="s">
        <v>1473</v>
      </c>
      <c r="E105" s="6"/>
      <c r="F105" s="5" t="s">
        <v>1474</v>
      </c>
      <c r="G105" s="5" t="s">
        <v>40</v>
      </c>
      <c r="H105" s="5">
        <v>1966.0</v>
      </c>
      <c r="I105" s="5" t="s">
        <v>18</v>
      </c>
      <c r="J105" s="5" t="s">
        <v>1425</v>
      </c>
    </row>
    <row r="106" ht="15.75" customHeight="1">
      <c r="A106" s="4" t="s">
        <v>1475</v>
      </c>
      <c r="B106" s="5" t="s">
        <v>1476</v>
      </c>
      <c r="C106" s="5" t="s">
        <v>1477</v>
      </c>
      <c r="D106" s="5" t="s">
        <v>1478</v>
      </c>
      <c r="E106" s="5" t="s">
        <v>1479</v>
      </c>
      <c r="F106" s="5" t="s">
        <v>1480</v>
      </c>
      <c r="G106" s="5" t="s">
        <v>40</v>
      </c>
      <c r="H106" s="5">
        <v>1942.0</v>
      </c>
      <c r="I106" s="5" t="s">
        <v>18</v>
      </c>
      <c r="J106" s="5" t="s">
        <v>107</v>
      </c>
    </row>
    <row r="107" ht="15.75" customHeight="1">
      <c r="A107" s="4" t="s">
        <v>1481</v>
      </c>
      <c r="B107" s="5" t="s">
        <v>423</v>
      </c>
      <c r="C107" s="5" t="s">
        <v>1482</v>
      </c>
      <c r="D107" s="5" t="s">
        <v>1483</v>
      </c>
      <c r="E107" s="6"/>
      <c r="F107" s="5" t="s">
        <v>1484</v>
      </c>
      <c r="G107" s="5" t="s">
        <v>40</v>
      </c>
      <c r="H107" s="5">
        <v>1969.0</v>
      </c>
      <c r="I107" s="5" t="s">
        <v>18</v>
      </c>
      <c r="J107" s="5" t="s">
        <v>107</v>
      </c>
    </row>
    <row r="108" ht="15.75" customHeight="1">
      <c r="A108" s="4" t="s">
        <v>1485</v>
      </c>
      <c r="B108" s="5" t="s">
        <v>1486</v>
      </c>
      <c r="C108" s="5" t="s">
        <v>1487</v>
      </c>
      <c r="D108" s="5" t="s">
        <v>1488</v>
      </c>
      <c r="E108" s="5">
        <v>9.03843085E8</v>
      </c>
      <c r="F108" s="6"/>
      <c r="G108" s="5" t="s">
        <v>17</v>
      </c>
      <c r="H108" s="5">
        <v>1981.0</v>
      </c>
      <c r="I108" s="5" t="s">
        <v>18</v>
      </c>
      <c r="J108" s="5" t="s">
        <v>1042</v>
      </c>
    </row>
    <row r="109" ht="15.75" customHeight="1">
      <c r="A109" s="4" t="s">
        <v>1489</v>
      </c>
      <c r="B109" s="5" t="s">
        <v>1490</v>
      </c>
      <c r="C109" s="5" t="s">
        <v>1491</v>
      </c>
      <c r="D109" s="5" t="s">
        <v>1492</v>
      </c>
      <c r="E109" s="6"/>
      <c r="F109" s="5" t="s">
        <v>1493</v>
      </c>
      <c r="G109" s="5" t="s">
        <v>40</v>
      </c>
      <c r="H109" s="5">
        <v>1974.0</v>
      </c>
      <c r="I109" s="5" t="s">
        <v>18</v>
      </c>
      <c r="J109" s="5" t="s">
        <v>1494</v>
      </c>
    </row>
    <row r="110" ht="15.75" customHeight="1">
      <c r="A110" s="4" t="s">
        <v>1495</v>
      </c>
      <c r="B110" s="5" t="s">
        <v>536</v>
      </c>
      <c r="C110" s="5" t="s">
        <v>1496</v>
      </c>
      <c r="D110" s="5" t="s">
        <v>1497</v>
      </c>
      <c r="E110" s="6"/>
      <c r="F110" s="5">
        <v>9.0372779E8</v>
      </c>
      <c r="G110" s="5" t="s">
        <v>17</v>
      </c>
      <c r="H110" s="5">
        <v>1962.0</v>
      </c>
      <c r="I110" s="5" t="s">
        <v>70</v>
      </c>
      <c r="J110" s="5" t="s">
        <v>107</v>
      </c>
    </row>
    <row r="111" ht="15.75" customHeight="1">
      <c r="A111" s="4" t="s">
        <v>1498</v>
      </c>
      <c r="B111" s="5" t="s">
        <v>1499</v>
      </c>
      <c r="C111" s="5" t="s">
        <v>1500</v>
      </c>
      <c r="D111" s="5" t="s">
        <v>1501</v>
      </c>
      <c r="E111" s="6"/>
      <c r="F111" s="5">
        <v>9.02485679E8</v>
      </c>
      <c r="G111" s="5" t="s">
        <v>17</v>
      </c>
      <c r="H111" s="5">
        <v>1973.0</v>
      </c>
      <c r="I111" s="5" t="s">
        <v>18</v>
      </c>
      <c r="J111" s="5" t="s">
        <v>212</v>
      </c>
    </row>
    <row r="112" ht="15.75" customHeight="1">
      <c r="A112" s="4" t="s">
        <v>1502</v>
      </c>
      <c r="B112" s="5" t="s">
        <v>536</v>
      </c>
      <c r="C112" s="5" t="s">
        <v>1503</v>
      </c>
      <c r="D112" s="6"/>
      <c r="E112" s="5">
        <v>9.03698555E8</v>
      </c>
      <c r="F112" s="6"/>
      <c r="G112" s="5" t="s">
        <v>40</v>
      </c>
      <c r="H112" s="5">
        <v>1996.0</v>
      </c>
      <c r="I112" s="5" t="s">
        <v>18</v>
      </c>
      <c r="J112" s="5" t="s">
        <v>1042</v>
      </c>
    </row>
    <row r="113" ht="15.75" customHeight="1">
      <c r="A113" s="4" t="s">
        <v>1504</v>
      </c>
      <c r="B113" s="5" t="s">
        <v>1490</v>
      </c>
      <c r="C113" s="5" t="s">
        <v>1505</v>
      </c>
      <c r="D113" s="5" t="s">
        <v>1506</v>
      </c>
      <c r="E113" s="6"/>
      <c r="F113" s="5" t="s">
        <v>1507</v>
      </c>
      <c r="G113" s="5" t="s">
        <v>40</v>
      </c>
      <c r="H113" s="5">
        <v>1985.0</v>
      </c>
      <c r="I113" s="5" t="s">
        <v>18</v>
      </c>
      <c r="J113" s="5" t="s">
        <v>226</v>
      </c>
    </row>
    <row r="114" ht="15.75" customHeight="1">
      <c r="A114" s="4" t="s">
        <v>1508</v>
      </c>
      <c r="B114" s="5" t="s">
        <v>1509</v>
      </c>
      <c r="C114" s="5" t="s">
        <v>1510</v>
      </c>
      <c r="D114" s="5" t="s">
        <v>1511</v>
      </c>
      <c r="E114" s="6"/>
      <c r="F114" s="5">
        <v>9.03458018E8</v>
      </c>
      <c r="G114" s="5" t="s">
        <v>17</v>
      </c>
      <c r="H114" s="5">
        <v>1990.0</v>
      </c>
      <c r="I114" s="5" t="s">
        <v>18</v>
      </c>
      <c r="J114" s="5" t="s">
        <v>107</v>
      </c>
    </row>
    <row r="115" ht="15.75" customHeight="1">
      <c r="A115" s="4" t="s">
        <v>1512</v>
      </c>
      <c r="B115" s="5" t="s">
        <v>1513</v>
      </c>
      <c r="C115" s="5" t="s">
        <v>1514</v>
      </c>
      <c r="D115" s="5" t="s">
        <v>1515</v>
      </c>
      <c r="E115" s="6"/>
      <c r="F115" s="5" t="s">
        <v>1516</v>
      </c>
      <c r="G115" s="5" t="s">
        <v>40</v>
      </c>
      <c r="H115" s="5">
        <v>1975.0</v>
      </c>
      <c r="I115" s="5" t="s">
        <v>18</v>
      </c>
      <c r="J115" s="5" t="s">
        <v>107</v>
      </c>
    </row>
    <row r="116" ht="15.75" customHeight="1">
      <c r="A116" s="4" t="s">
        <v>1517</v>
      </c>
      <c r="B116" s="5" t="s">
        <v>1509</v>
      </c>
      <c r="C116" s="5" t="s">
        <v>1518</v>
      </c>
      <c r="D116" s="5" t="s">
        <v>1519</v>
      </c>
      <c r="E116" s="5" t="s">
        <v>1520</v>
      </c>
      <c r="F116" s="5">
        <v>9.43697777E8</v>
      </c>
      <c r="G116" s="5" t="s">
        <v>40</v>
      </c>
      <c r="H116" s="5">
        <v>1967.0</v>
      </c>
      <c r="I116" s="5" t="s">
        <v>18</v>
      </c>
      <c r="J116" s="5" t="s">
        <v>1200</v>
      </c>
    </row>
    <row r="117" ht="15.75" customHeight="1">
      <c r="A117" s="4" t="s">
        <v>1521</v>
      </c>
      <c r="B117" s="5" t="s">
        <v>1522</v>
      </c>
      <c r="C117" s="5" t="s">
        <v>1523</v>
      </c>
      <c r="D117" s="5" t="s">
        <v>1524</v>
      </c>
      <c r="E117" s="6"/>
      <c r="F117" s="5" t="s">
        <v>1525</v>
      </c>
      <c r="G117" s="5" t="s">
        <v>40</v>
      </c>
      <c r="H117" s="5">
        <v>1974.0</v>
      </c>
      <c r="I117" s="5" t="s">
        <v>18</v>
      </c>
      <c r="J117" s="5" t="s">
        <v>1425</v>
      </c>
    </row>
    <row r="118" ht="15.75" customHeight="1">
      <c r="A118" s="4" t="s">
        <v>1526</v>
      </c>
      <c r="B118" s="5" t="s">
        <v>1527</v>
      </c>
      <c r="C118" s="5" t="s">
        <v>1528</v>
      </c>
      <c r="D118" s="5" t="s">
        <v>1529</v>
      </c>
      <c r="E118" s="5" t="s">
        <v>1530</v>
      </c>
      <c r="F118" s="6"/>
      <c r="G118" s="5" t="s">
        <v>17</v>
      </c>
      <c r="H118" s="5">
        <v>1958.0</v>
      </c>
      <c r="I118" s="5" t="s">
        <v>70</v>
      </c>
      <c r="J118" s="5" t="s">
        <v>107</v>
      </c>
    </row>
    <row r="119" ht="15.75" customHeight="1">
      <c r="A119" s="4" t="s">
        <v>1531</v>
      </c>
      <c r="B119" s="5" t="s">
        <v>1532</v>
      </c>
      <c r="C119" s="5" t="s">
        <v>825</v>
      </c>
      <c r="D119" s="5" t="s">
        <v>826</v>
      </c>
      <c r="E119" s="5" t="s">
        <v>827</v>
      </c>
      <c r="F119" s="5">
        <v>9.88723186E8</v>
      </c>
      <c r="G119" s="6"/>
      <c r="H119" s="5">
        <v>0.0</v>
      </c>
      <c r="I119" s="5" t="s">
        <v>188</v>
      </c>
      <c r="J119" s="5" t="s">
        <v>107</v>
      </c>
    </row>
    <row r="120" ht="15.75" customHeight="1">
      <c r="A120" s="4" t="s">
        <v>1533</v>
      </c>
      <c r="B120" s="5" t="s">
        <v>1534</v>
      </c>
      <c r="C120" s="5" t="s">
        <v>1535</v>
      </c>
      <c r="D120" s="5" t="s">
        <v>1536</v>
      </c>
      <c r="E120" s="5" t="s">
        <v>1537</v>
      </c>
      <c r="F120" s="5" t="s">
        <v>1538</v>
      </c>
      <c r="G120" s="6"/>
      <c r="H120" s="5">
        <v>1990.0</v>
      </c>
      <c r="I120" s="5" t="s">
        <v>18</v>
      </c>
      <c r="J120" s="5" t="s">
        <v>856</v>
      </c>
    </row>
    <row r="121" ht="15.75" customHeight="1">
      <c r="A121" s="4" t="s">
        <v>1539</v>
      </c>
      <c r="B121" s="5" t="s">
        <v>1073</v>
      </c>
      <c r="C121" s="5" t="s">
        <v>1540</v>
      </c>
      <c r="D121" s="6"/>
      <c r="E121" s="6"/>
      <c r="F121" s="5">
        <v>9.09534125E8</v>
      </c>
      <c r="G121" s="5" t="s">
        <v>40</v>
      </c>
      <c r="H121" s="5">
        <v>1980.0</v>
      </c>
      <c r="I121" s="5" t="s">
        <v>18</v>
      </c>
      <c r="J121" s="5" t="s">
        <v>1162</v>
      </c>
    </row>
    <row r="122" ht="15.75" customHeight="1">
      <c r="A122" s="4" t="s">
        <v>1541</v>
      </c>
      <c r="B122" s="5" t="s">
        <v>1542</v>
      </c>
      <c r="C122" s="5" t="s">
        <v>1543</v>
      </c>
      <c r="D122" s="5" t="s">
        <v>1544</v>
      </c>
      <c r="E122" s="6"/>
      <c r="F122" s="5">
        <v>9.03710999E8</v>
      </c>
      <c r="G122" s="5" t="s">
        <v>17</v>
      </c>
      <c r="H122" s="5">
        <v>1974.0</v>
      </c>
      <c r="I122" s="5" t="s">
        <v>18</v>
      </c>
      <c r="J122" s="5" t="s">
        <v>86</v>
      </c>
    </row>
    <row r="123" ht="15.75" customHeight="1">
      <c r="A123" s="4" t="s">
        <v>1545</v>
      </c>
      <c r="B123" s="5" t="s">
        <v>1546</v>
      </c>
      <c r="C123" s="5" t="s">
        <v>1547</v>
      </c>
      <c r="D123" s="5" t="s">
        <v>1548</v>
      </c>
      <c r="E123" s="5" t="s">
        <v>1549</v>
      </c>
      <c r="F123" s="5">
        <v>9.03700351E8</v>
      </c>
      <c r="G123" s="5" t="s">
        <v>17</v>
      </c>
      <c r="H123" s="5">
        <v>1969.0</v>
      </c>
      <c r="I123" s="5" t="s">
        <v>18</v>
      </c>
      <c r="J123" s="5" t="s">
        <v>107</v>
      </c>
    </row>
    <row r="124" ht="15.75" customHeight="1">
      <c r="A124" s="4" t="s">
        <v>1550</v>
      </c>
      <c r="B124" s="5" t="s">
        <v>1542</v>
      </c>
      <c r="C124" s="5" t="s">
        <v>1551</v>
      </c>
      <c r="D124" s="5" t="s">
        <v>1552</v>
      </c>
      <c r="E124" s="6"/>
      <c r="F124" s="5">
        <v>9.02581631E8</v>
      </c>
      <c r="G124" s="5" t="s">
        <v>40</v>
      </c>
      <c r="H124" s="5">
        <v>1983.0</v>
      </c>
      <c r="I124" s="5" t="s">
        <v>18</v>
      </c>
      <c r="J124" s="5" t="s">
        <v>19</v>
      </c>
    </row>
    <row r="125" ht="15.75" customHeight="1">
      <c r="A125" s="4" t="s">
        <v>1553</v>
      </c>
      <c r="B125" s="5" t="s">
        <v>1554</v>
      </c>
      <c r="C125" s="5" t="s">
        <v>1555</v>
      </c>
      <c r="D125" s="5" t="s">
        <v>1556</v>
      </c>
      <c r="E125" s="6"/>
      <c r="F125" s="5" t="s">
        <v>1557</v>
      </c>
      <c r="G125" s="5" t="s">
        <v>40</v>
      </c>
      <c r="H125" s="5">
        <v>1957.0</v>
      </c>
      <c r="I125" s="5" t="s">
        <v>18</v>
      </c>
      <c r="J125" s="5" t="s">
        <v>1140</v>
      </c>
    </row>
    <row r="126" ht="15.75" customHeight="1">
      <c r="A126" s="4" t="s">
        <v>1558</v>
      </c>
      <c r="B126" s="5" t="s">
        <v>1050</v>
      </c>
      <c r="C126" s="5" t="s">
        <v>1257</v>
      </c>
      <c r="D126" s="5" t="s">
        <v>1258</v>
      </c>
      <c r="E126" s="5" t="s">
        <v>1259</v>
      </c>
      <c r="F126" s="5" t="s">
        <v>1260</v>
      </c>
      <c r="G126" s="5" t="s">
        <v>17</v>
      </c>
      <c r="H126" s="5">
        <v>1968.0</v>
      </c>
      <c r="I126" s="5" t="s">
        <v>18</v>
      </c>
      <c r="J126" s="5" t="s">
        <v>1036</v>
      </c>
    </row>
    <row r="127" ht="15.75" customHeight="1">
      <c r="A127" s="4" t="s">
        <v>1559</v>
      </c>
      <c r="B127" s="5" t="s">
        <v>1560</v>
      </c>
      <c r="C127" s="5" t="s">
        <v>1561</v>
      </c>
      <c r="D127" s="5" t="s">
        <v>1562</v>
      </c>
      <c r="E127" s="6"/>
      <c r="F127" s="5">
        <v>9.08722376E8</v>
      </c>
      <c r="G127" s="5" t="s">
        <v>40</v>
      </c>
      <c r="H127" s="5">
        <v>1971.0</v>
      </c>
      <c r="I127" s="5" t="s">
        <v>18</v>
      </c>
      <c r="J127" s="5" t="s">
        <v>107</v>
      </c>
    </row>
    <row r="128" ht="15.75" customHeight="1">
      <c r="A128" s="4" t="s">
        <v>1563</v>
      </c>
      <c r="B128" s="5" t="s">
        <v>1564</v>
      </c>
      <c r="C128" s="5" t="s">
        <v>1565</v>
      </c>
      <c r="D128" s="5" t="s">
        <v>1566</v>
      </c>
      <c r="E128" s="5" t="s">
        <v>1567</v>
      </c>
      <c r="F128" s="5">
        <v>9.36155991E8</v>
      </c>
      <c r="G128" s="5" t="s">
        <v>40</v>
      </c>
      <c r="H128" s="5">
        <v>1984.0</v>
      </c>
      <c r="I128" s="5" t="s">
        <v>18</v>
      </c>
      <c r="J128" s="5" t="s">
        <v>1200</v>
      </c>
    </row>
    <row r="129" ht="15.75" customHeight="1">
      <c r="A129" s="4" t="s">
        <v>1568</v>
      </c>
      <c r="B129" s="5" t="s">
        <v>1569</v>
      </c>
      <c r="C129" s="5" t="s">
        <v>1570</v>
      </c>
      <c r="D129" s="5" t="s">
        <v>1571</v>
      </c>
      <c r="E129" s="5" t="s">
        <v>1572</v>
      </c>
      <c r="F129" s="6"/>
      <c r="G129" s="6"/>
      <c r="H129" s="5">
        <v>0.0</v>
      </c>
      <c r="I129" s="5" t="s">
        <v>188</v>
      </c>
      <c r="J129" s="5" t="s">
        <v>212</v>
      </c>
    </row>
    <row r="130" ht="15.75" customHeight="1">
      <c r="A130" s="4" t="s">
        <v>1573</v>
      </c>
      <c r="B130" s="5" t="s">
        <v>1574</v>
      </c>
      <c r="C130" s="5" t="s">
        <v>1575</v>
      </c>
      <c r="D130" s="5" t="s">
        <v>1576</v>
      </c>
      <c r="E130" s="6"/>
      <c r="F130" s="5" t="s">
        <v>1577</v>
      </c>
      <c r="G130" s="5" t="s">
        <v>40</v>
      </c>
      <c r="H130" s="5">
        <v>1977.0</v>
      </c>
      <c r="I130" s="5" t="s">
        <v>18</v>
      </c>
      <c r="J130" s="5" t="s">
        <v>856</v>
      </c>
    </row>
    <row r="131" ht="15.75" customHeight="1">
      <c r="A131" s="4" t="s">
        <v>1578</v>
      </c>
      <c r="B131" s="5" t="s">
        <v>1574</v>
      </c>
      <c r="C131" s="5" t="s">
        <v>1579</v>
      </c>
      <c r="D131" s="5" t="s">
        <v>1580</v>
      </c>
      <c r="E131" s="6"/>
      <c r="F131" s="5" t="s">
        <v>1581</v>
      </c>
      <c r="G131" s="5" t="s">
        <v>17</v>
      </c>
      <c r="H131" s="5">
        <v>1978.0</v>
      </c>
      <c r="I131" s="5" t="s">
        <v>18</v>
      </c>
      <c r="J131" s="5" t="s">
        <v>1582</v>
      </c>
    </row>
    <row r="132" ht="15.75" customHeight="1">
      <c r="A132" s="4" t="s">
        <v>1583</v>
      </c>
      <c r="B132" s="5" t="s">
        <v>1584</v>
      </c>
      <c r="C132" s="5" t="s">
        <v>1585</v>
      </c>
      <c r="D132" s="5" t="s">
        <v>1586</v>
      </c>
      <c r="E132" s="5" t="s">
        <v>1587</v>
      </c>
      <c r="F132" s="5" t="s">
        <v>1588</v>
      </c>
      <c r="G132" s="6"/>
      <c r="H132" s="5">
        <v>0.0</v>
      </c>
      <c r="I132" s="5" t="s">
        <v>18</v>
      </c>
      <c r="J132" s="5" t="s">
        <v>107</v>
      </c>
    </row>
    <row r="133" ht="15.75" customHeight="1">
      <c r="A133" s="4" t="s">
        <v>1589</v>
      </c>
      <c r="B133" s="5" t="s">
        <v>1026</v>
      </c>
      <c r="C133" s="5" t="s">
        <v>1590</v>
      </c>
      <c r="D133" s="5" t="s">
        <v>1591</v>
      </c>
      <c r="E133" s="6"/>
      <c r="F133" s="5" t="s">
        <v>1592</v>
      </c>
      <c r="G133" s="5" t="s">
        <v>17</v>
      </c>
      <c r="H133" s="5">
        <v>1958.0</v>
      </c>
      <c r="I133" s="5" t="s">
        <v>18</v>
      </c>
      <c r="J133" s="5" t="s">
        <v>226</v>
      </c>
    </row>
    <row r="134" ht="15.75" customHeight="1">
      <c r="A134" s="4" t="s">
        <v>1593</v>
      </c>
      <c r="B134" s="5" t="s">
        <v>1594</v>
      </c>
      <c r="C134" s="5" t="s">
        <v>1595</v>
      </c>
      <c r="D134" s="5" t="s">
        <v>1596</v>
      </c>
      <c r="E134" s="6"/>
      <c r="F134" s="5">
        <v>9.03845433E8</v>
      </c>
      <c r="G134" s="5" t="s">
        <v>17</v>
      </c>
      <c r="H134" s="5">
        <v>1959.0</v>
      </c>
      <c r="I134" s="5" t="s">
        <v>70</v>
      </c>
      <c r="J134" s="5" t="s">
        <v>107</v>
      </c>
    </row>
    <row r="135" ht="15.75" customHeight="1">
      <c r="A135" s="4" t="s">
        <v>1597</v>
      </c>
      <c r="B135" s="5" t="s">
        <v>1598</v>
      </c>
      <c r="C135" s="5" t="s">
        <v>1599</v>
      </c>
      <c r="D135" s="6"/>
      <c r="E135" s="5" t="s">
        <v>1600</v>
      </c>
      <c r="F135" s="5">
        <v>9.03870008E8</v>
      </c>
      <c r="G135" s="5" t="s">
        <v>40</v>
      </c>
      <c r="H135" s="5">
        <v>1976.0</v>
      </c>
      <c r="I135" s="5" t="s">
        <v>18</v>
      </c>
      <c r="J135" s="5" t="s">
        <v>1042</v>
      </c>
    </row>
    <row r="136" ht="15.75" customHeight="1">
      <c r="A136" s="4" t="s">
        <v>1601</v>
      </c>
      <c r="B136" s="5" t="s">
        <v>1594</v>
      </c>
      <c r="C136" s="5" t="s">
        <v>1602</v>
      </c>
      <c r="D136" s="5" t="s">
        <v>1603</v>
      </c>
      <c r="E136" s="6"/>
      <c r="F136" s="5" t="s">
        <v>1604</v>
      </c>
      <c r="G136" s="5" t="s">
        <v>40</v>
      </c>
      <c r="H136" s="5">
        <v>1971.0</v>
      </c>
      <c r="I136" s="5" t="s">
        <v>18</v>
      </c>
      <c r="J136" s="5" t="s">
        <v>107</v>
      </c>
    </row>
    <row r="137" ht="15.75" customHeight="1">
      <c r="A137" s="4" t="s">
        <v>1605</v>
      </c>
      <c r="B137" s="5" t="s">
        <v>1522</v>
      </c>
      <c r="C137" s="5" t="s">
        <v>1606</v>
      </c>
      <c r="D137" s="5" t="s">
        <v>1607</v>
      </c>
      <c r="E137" s="6"/>
      <c r="F137" s="5" t="s">
        <v>1608</v>
      </c>
      <c r="G137" s="5" t="s">
        <v>40</v>
      </c>
      <c r="H137" s="5">
        <v>1965.0</v>
      </c>
      <c r="I137" s="5" t="s">
        <v>18</v>
      </c>
      <c r="J137" s="5" t="s">
        <v>1425</v>
      </c>
    </row>
    <row r="138" ht="15.75" customHeight="1">
      <c r="A138" s="4" t="s">
        <v>1609</v>
      </c>
      <c r="B138" s="5" t="s">
        <v>1610</v>
      </c>
      <c r="C138" s="5" t="s">
        <v>1611</v>
      </c>
      <c r="D138" s="5" t="s">
        <v>1612</v>
      </c>
      <c r="E138" s="6"/>
      <c r="F138" s="5">
        <v>9.72993819E8</v>
      </c>
      <c r="G138" s="5" t="s">
        <v>40</v>
      </c>
      <c r="H138" s="5">
        <v>1976.0</v>
      </c>
      <c r="I138" s="5" t="s">
        <v>18</v>
      </c>
      <c r="J138" s="5" t="s">
        <v>19</v>
      </c>
    </row>
    <row r="139" ht="15.75" customHeight="1">
      <c r="A139" s="4" t="s">
        <v>1613</v>
      </c>
      <c r="B139" s="5" t="s">
        <v>1614</v>
      </c>
      <c r="C139" s="5" t="s">
        <v>1615</v>
      </c>
      <c r="D139" s="6"/>
      <c r="E139" s="5" t="s">
        <v>1616</v>
      </c>
      <c r="F139" s="5">
        <v>9.18187078E8</v>
      </c>
      <c r="G139" s="5" t="s">
        <v>40</v>
      </c>
      <c r="H139" s="5">
        <v>1978.0</v>
      </c>
      <c r="I139" s="5" t="s">
        <v>18</v>
      </c>
      <c r="J139" s="5" t="s">
        <v>56</v>
      </c>
    </row>
    <row r="140" ht="15.75" customHeight="1">
      <c r="A140" s="4" t="s">
        <v>1617</v>
      </c>
      <c r="B140" s="5" t="s">
        <v>543</v>
      </c>
      <c r="C140" s="5" t="s">
        <v>1618</v>
      </c>
      <c r="D140" s="6"/>
      <c r="E140" s="5">
        <v>9.1228802E8</v>
      </c>
      <c r="F140" s="5">
        <v>9.04142992E8</v>
      </c>
      <c r="G140" s="5" t="s">
        <v>40</v>
      </c>
      <c r="H140" s="5">
        <v>1948.0</v>
      </c>
      <c r="I140" s="5" t="s">
        <v>18</v>
      </c>
      <c r="J140" s="5" t="s">
        <v>19</v>
      </c>
    </row>
    <row r="141" ht="15.75" customHeight="1">
      <c r="A141" s="4" t="s">
        <v>1619</v>
      </c>
      <c r="B141" s="5" t="s">
        <v>1026</v>
      </c>
      <c r="C141" s="5" t="s">
        <v>1620</v>
      </c>
      <c r="D141" s="5" t="s">
        <v>1621</v>
      </c>
      <c r="E141" s="6"/>
      <c r="F141" s="5" t="s">
        <v>1622</v>
      </c>
      <c r="G141" s="5" t="s">
        <v>40</v>
      </c>
      <c r="H141" s="5">
        <v>1955.0</v>
      </c>
      <c r="I141" s="5" t="s">
        <v>18</v>
      </c>
      <c r="J141" s="5" t="s">
        <v>1140</v>
      </c>
    </row>
    <row r="142" ht="15.75" customHeight="1">
      <c r="A142" s="4" t="s">
        <v>1623</v>
      </c>
      <c r="B142" s="5" t="s">
        <v>1624</v>
      </c>
      <c r="C142" s="5" t="s">
        <v>1625</v>
      </c>
      <c r="D142" s="5" t="s">
        <v>1626</v>
      </c>
      <c r="E142" s="6"/>
      <c r="F142" s="5">
        <v>9.03817125E8</v>
      </c>
      <c r="G142" s="5" t="s">
        <v>17</v>
      </c>
      <c r="H142" s="5">
        <v>1971.0</v>
      </c>
      <c r="I142" s="5" t="s">
        <v>70</v>
      </c>
      <c r="J142" s="5" t="s">
        <v>1200</v>
      </c>
    </row>
    <row r="143" ht="15.75" customHeight="1">
      <c r="A143" s="4" t="s">
        <v>1627</v>
      </c>
      <c r="B143" s="5" t="s">
        <v>1628</v>
      </c>
      <c r="C143" s="5" t="s">
        <v>1629</v>
      </c>
      <c r="D143" s="5" t="s">
        <v>1630</v>
      </c>
      <c r="E143" s="6"/>
      <c r="F143" s="5" t="s">
        <v>1631</v>
      </c>
      <c r="G143" s="5" t="s">
        <v>40</v>
      </c>
      <c r="H143" s="5">
        <v>1977.0</v>
      </c>
      <c r="I143" s="5" t="s">
        <v>18</v>
      </c>
      <c r="J143" s="5" t="s">
        <v>86</v>
      </c>
    </row>
    <row r="144" ht="15.75" customHeight="1">
      <c r="A144" s="4" t="s">
        <v>1632</v>
      </c>
      <c r="B144" s="5" t="s">
        <v>1633</v>
      </c>
      <c r="C144" s="5" t="s">
        <v>1634</v>
      </c>
      <c r="D144" s="5" t="s">
        <v>1635</v>
      </c>
      <c r="E144" s="5" t="s">
        <v>1636</v>
      </c>
      <c r="F144" s="5">
        <v>9.03832519E8</v>
      </c>
      <c r="G144" s="5" t="s">
        <v>40</v>
      </c>
      <c r="H144" s="5">
        <v>1936.0</v>
      </c>
      <c r="I144" s="5" t="s">
        <v>18</v>
      </c>
      <c r="J144" s="5" t="s">
        <v>41</v>
      </c>
    </row>
    <row r="145" ht="15.75" customHeight="1">
      <c r="A145" s="4" t="s">
        <v>1637</v>
      </c>
      <c r="B145" s="5" t="s">
        <v>1127</v>
      </c>
      <c r="C145" s="5" t="s">
        <v>1638</v>
      </c>
      <c r="D145" s="5" t="s">
        <v>1639</v>
      </c>
      <c r="E145" s="6"/>
      <c r="F145" s="5" t="s">
        <v>1640</v>
      </c>
      <c r="G145" s="5" t="s">
        <v>40</v>
      </c>
      <c r="H145" s="5">
        <v>1967.0</v>
      </c>
      <c r="I145" s="5" t="s">
        <v>70</v>
      </c>
      <c r="J145" s="5" t="s">
        <v>1277</v>
      </c>
    </row>
    <row r="146" ht="15.75" customHeight="1">
      <c r="A146" s="4" t="s">
        <v>1641</v>
      </c>
      <c r="B146" s="5" t="s">
        <v>190</v>
      </c>
      <c r="C146" s="5" t="s">
        <v>1642</v>
      </c>
      <c r="D146" s="6"/>
      <c r="E146" s="5" t="s">
        <v>1643</v>
      </c>
      <c r="F146" s="5">
        <v>9.08188686E8</v>
      </c>
      <c r="G146" s="5" t="s">
        <v>40</v>
      </c>
      <c r="H146" s="5">
        <v>1956.0</v>
      </c>
      <c r="I146" s="5" t="s">
        <v>18</v>
      </c>
      <c r="J146" s="5" t="s">
        <v>41</v>
      </c>
    </row>
    <row r="147" ht="15.75" customHeight="1">
      <c r="A147" s="4" t="s">
        <v>1644</v>
      </c>
      <c r="B147" s="5" t="s">
        <v>1645</v>
      </c>
      <c r="C147" s="5" t="s">
        <v>1646</v>
      </c>
      <c r="D147" s="5" t="s">
        <v>1647</v>
      </c>
      <c r="E147" s="5" t="s">
        <v>1648</v>
      </c>
      <c r="F147" s="5">
        <v>9.13240885E8</v>
      </c>
      <c r="G147" s="5" t="s">
        <v>40</v>
      </c>
      <c r="H147" s="5">
        <v>1973.0</v>
      </c>
      <c r="I147" s="5" t="s">
        <v>18</v>
      </c>
      <c r="J147" s="5" t="s">
        <v>107</v>
      </c>
    </row>
    <row r="148" ht="15.75" customHeight="1">
      <c r="A148" s="4" t="s">
        <v>1649</v>
      </c>
      <c r="B148" s="5" t="s">
        <v>569</v>
      </c>
      <c r="C148" s="5" t="s">
        <v>1343</v>
      </c>
      <c r="D148" s="5" t="s">
        <v>1344</v>
      </c>
      <c r="E148" s="6"/>
      <c r="F148" s="5">
        <v>9.08085678E8</v>
      </c>
      <c r="G148" s="5" t="s">
        <v>40</v>
      </c>
      <c r="H148" s="5">
        <v>1978.0</v>
      </c>
      <c r="I148" s="5" t="s">
        <v>18</v>
      </c>
      <c r="J148" s="5" t="s">
        <v>19</v>
      </c>
    </row>
    <row r="149" ht="15.75" customHeight="1">
      <c r="A149" s="4" t="s">
        <v>1650</v>
      </c>
      <c r="B149" s="5" t="s">
        <v>1490</v>
      </c>
      <c r="C149" s="5" t="s">
        <v>1651</v>
      </c>
      <c r="D149" s="6"/>
      <c r="E149" s="6"/>
      <c r="F149" s="5" t="s">
        <v>1652</v>
      </c>
      <c r="G149" s="5" t="s">
        <v>40</v>
      </c>
      <c r="H149" s="5">
        <v>1976.0</v>
      </c>
      <c r="I149" s="5" t="s">
        <v>18</v>
      </c>
      <c r="J149" s="5" t="s">
        <v>226</v>
      </c>
    </row>
    <row r="150" ht="15.75" customHeight="1">
      <c r="A150" s="4" t="s">
        <v>1653</v>
      </c>
      <c r="B150" s="5" t="s">
        <v>1654</v>
      </c>
      <c r="C150" s="5" t="s">
        <v>1655</v>
      </c>
      <c r="D150" s="5" t="s">
        <v>1656</v>
      </c>
      <c r="E150" s="6"/>
      <c r="F150" s="5">
        <v>9.03819978E8</v>
      </c>
      <c r="G150" s="5" t="s">
        <v>17</v>
      </c>
      <c r="H150" s="5">
        <v>1963.0</v>
      </c>
      <c r="I150" s="5" t="s">
        <v>870</v>
      </c>
      <c r="J150" s="5" t="s">
        <v>56</v>
      </c>
    </row>
    <row r="151" ht="15.75" customHeight="1">
      <c r="A151" s="4" t="s">
        <v>1657</v>
      </c>
      <c r="B151" s="5" t="s">
        <v>1658</v>
      </c>
      <c r="C151" s="5" t="s">
        <v>1659</v>
      </c>
      <c r="D151" s="5" t="s">
        <v>1660</v>
      </c>
      <c r="E151" s="6"/>
      <c r="F151" s="5" t="s">
        <v>1661</v>
      </c>
      <c r="G151" s="5" t="s">
        <v>40</v>
      </c>
      <c r="H151" s="5">
        <v>1984.0</v>
      </c>
      <c r="I151" s="5" t="s">
        <v>18</v>
      </c>
      <c r="J151" s="5" t="s">
        <v>1048</v>
      </c>
    </row>
    <row r="152" ht="15.75" customHeight="1">
      <c r="A152" s="4" t="s">
        <v>1662</v>
      </c>
      <c r="B152" s="5" t="s">
        <v>1073</v>
      </c>
      <c r="C152" s="5" t="s">
        <v>1663</v>
      </c>
      <c r="D152" s="5" t="s">
        <v>1664</v>
      </c>
      <c r="E152" s="6"/>
      <c r="F152" s="5" t="s">
        <v>1665</v>
      </c>
      <c r="G152" s="5" t="s">
        <v>17</v>
      </c>
      <c r="H152" s="5">
        <v>1972.0</v>
      </c>
      <c r="I152" s="5" t="s">
        <v>18</v>
      </c>
      <c r="J152" s="5" t="s">
        <v>1036</v>
      </c>
    </row>
    <row r="153" ht="15.75" customHeight="1">
      <c r="A153" s="4" t="s">
        <v>1666</v>
      </c>
      <c r="B153" s="5" t="s">
        <v>1050</v>
      </c>
      <c r="C153" s="5" t="s">
        <v>1667</v>
      </c>
      <c r="D153" s="5" t="s">
        <v>1668</v>
      </c>
      <c r="E153" s="6"/>
      <c r="F153" s="5" t="s">
        <v>1669</v>
      </c>
      <c r="G153" s="5" t="s">
        <v>40</v>
      </c>
      <c r="H153" s="5">
        <v>1970.0</v>
      </c>
      <c r="I153" s="5" t="s">
        <v>18</v>
      </c>
      <c r="J153" s="5" t="s">
        <v>1266</v>
      </c>
    </row>
    <row r="154" ht="15.75" customHeight="1">
      <c r="A154" s="4" t="s">
        <v>1670</v>
      </c>
      <c r="B154" s="5" t="s">
        <v>663</v>
      </c>
      <c r="C154" s="5" t="s">
        <v>1671</v>
      </c>
      <c r="D154" s="5" t="s">
        <v>1672</v>
      </c>
      <c r="E154" s="6"/>
      <c r="F154" s="5">
        <v>9.08018253E8</v>
      </c>
      <c r="G154" s="5" t="s">
        <v>17</v>
      </c>
      <c r="H154" s="5">
        <v>1978.0</v>
      </c>
      <c r="I154" s="5" t="s">
        <v>18</v>
      </c>
      <c r="J154" s="5" t="s">
        <v>41</v>
      </c>
    </row>
    <row r="155" ht="15.75" customHeight="1">
      <c r="A155" s="4" t="s">
        <v>1673</v>
      </c>
      <c r="B155" s="5" t="s">
        <v>1674</v>
      </c>
      <c r="C155" s="5" t="s">
        <v>1675</v>
      </c>
      <c r="D155" s="5" t="s">
        <v>1676</v>
      </c>
      <c r="E155" s="5" t="s">
        <v>162</v>
      </c>
      <c r="F155" s="5">
        <v>9.02205511E8</v>
      </c>
      <c r="G155" s="5" t="s">
        <v>17</v>
      </c>
      <c r="H155" s="5">
        <v>1960.0</v>
      </c>
      <c r="I155" s="5" t="s">
        <v>70</v>
      </c>
      <c r="J155" s="5" t="s">
        <v>56</v>
      </c>
    </row>
    <row r="156" ht="15.75" customHeight="1">
      <c r="A156" s="4" t="s">
        <v>1677</v>
      </c>
      <c r="B156" s="5" t="s">
        <v>1678</v>
      </c>
      <c r="C156" s="5" t="s">
        <v>1679</v>
      </c>
      <c r="D156" s="5" t="s">
        <v>1680</v>
      </c>
      <c r="E156" s="6"/>
      <c r="F156" s="5">
        <v>9.08883839E8</v>
      </c>
      <c r="G156" s="5" t="s">
        <v>40</v>
      </c>
      <c r="H156" s="5">
        <v>1977.0</v>
      </c>
      <c r="I156" s="5" t="s">
        <v>18</v>
      </c>
      <c r="J156" s="5" t="s">
        <v>56</v>
      </c>
    </row>
    <row r="157" ht="15.75" customHeight="1">
      <c r="A157" s="4" t="s">
        <v>1681</v>
      </c>
      <c r="B157" s="5" t="s">
        <v>148</v>
      </c>
      <c r="C157" s="5" t="s">
        <v>1682</v>
      </c>
      <c r="D157" s="5" t="s">
        <v>1683</v>
      </c>
      <c r="E157" s="5" t="s">
        <v>1684</v>
      </c>
      <c r="F157" s="5">
        <v>9.09080099E8</v>
      </c>
      <c r="G157" s="5" t="s">
        <v>40</v>
      </c>
      <c r="H157" s="5">
        <v>1949.0</v>
      </c>
      <c r="I157" s="5" t="s">
        <v>18</v>
      </c>
      <c r="J157" s="5" t="s">
        <v>107</v>
      </c>
    </row>
    <row r="158" ht="15.75" customHeight="1">
      <c r="A158" s="4" t="s">
        <v>1685</v>
      </c>
      <c r="B158" s="5" t="s">
        <v>1686</v>
      </c>
      <c r="C158" s="5" t="s">
        <v>1687</v>
      </c>
      <c r="D158" s="5" t="s">
        <v>1688</v>
      </c>
      <c r="E158" s="5" t="s">
        <v>1689</v>
      </c>
      <c r="F158" s="5">
        <v>9.08106866E8</v>
      </c>
      <c r="G158" s="5" t="s">
        <v>17</v>
      </c>
      <c r="H158" s="5">
        <v>1957.0</v>
      </c>
      <c r="I158" s="5" t="s">
        <v>18</v>
      </c>
      <c r="J158" s="5" t="s">
        <v>212</v>
      </c>
    </row>
    <row r="159" ht="15.75" customHeight="1">
      <c r="A159" s="4" t="s">
        <v>1690</v>
      </c>
      <c r="B159" s="5" t="s">
        <v>1691</v>
      </c>
      <c r="C159" s="5" t="s">
        <v>1692</v>
      </c>
      <c r="D159" s="5" t="s">
        <v>1693</v>
      </c>
      <c r="E159" s="5">
        <v>7404995.0</v>
      </c>
      <c r="F159" s="5">
        <v>9.03806739E8</v>
      </c>
      <c r="G159" s="5" t="s">
        <v>40</v>
      </c>
      <c r="H159" s="5">
        <v>1977.0</v>
      </c>
      <c r="I159" s="5" t="s">
        <v>18</v>
      </c>
      <c r="J159" s="5" t="s">
        <v>86</v>
      </c>
    </row>
    <row r="160" ht="15.75" customHeight="1">
      <c r="A160" s="4" t="s">
        <v>1694</v>
      </c>
      <c r="B160" s="5" t="s">
        <v>1695</v>
      </c>
      <c r="C160" s="5" t="s">
        <v>1696</v>
      </c>
      <c r="D160" s="5" t="s">
        <v>1697</v>
      </c>
      <c r="E160" s="6"/>
      <c r="F160" s="5">
        <v>9.03214238E8</v>
      </c>
      <c r="G160" s="5" t="s">
        <v>40</v>
      </c>
      <c r="H160" s="5">
        <v>1975.0</v>
      </c>
      <c r="I160" s="5" t="s">
        <v>18</v>
      </c>
      <c r="J160" s="5" t="s">
        <v>41</v>
      </c>
    </row>
    <row r="161" ht="15.75" customHeight="1">
      <c r="A161" s="4" t="s">
        <v>1698</v>
      </c>
      <c r="B161" s="5" t="s">
        <v>1073</v>
      </c>
      <c r="C161" s="5" t="s">
        <v>1699</v>
      </c>
      <c r="D161" s="5" t="s">
        <v>1700</v>
      </c>
      <c r="E161" s="6"/>
      <c r="F161" s="5" t="s">
        <v>1701</v>
      </c>
      <c r="G161" s="5" t="s">
        <v>40</v>
      </c>
      <c r="H161" s="5">
        <v>1983.0</v>
      </c>
      <c r="I161" s="5" t="s">
        <v>18</v>
      </c>
      <c r="J161" s="5" t="s">
        <v>1702</v>
      </c>
    </row>
    <row r="162" ht="15.75" customHeight="1">
      <c r="A162" s="4" t="s">
        <v>1703</v>
      </c>
      <c r="B162" s="5" t="s">
        <v>1704</v>
      </c>
      <c r="C162" s="5" t="s">
        <v>1705</v>
      </c>
      <c r="D162" s="5" t="s">
        <v>1706</v>
      </c>
      <c r="E162" s="6"/>
      <c r="F162" s="5" t="s">
        <v>1707</v>
      </c>
      <c r="G162" s="5" t="s">
        <v>40</v>
      </c>
      <c r="H162" s="5">
        <v>1960.0</v>
      </c>
      <c r="I162" s="5" t="s">
        <v>18</v>
      </c>
      <c r="J162" s="5" t="s">
        <v>1708</v>
      </c>
    </row>
    <row r="163" ht="15.75" customHeight="1">
      <c r="A163" s="4" t="s">
        <v>1709</v>
      </c>
      <c r="B163" s="5" t="s">
        <v>1710</v>
      </c>
      <c r="C163" s="5" t="s">
        <v>1465</v>
      </c>
      <c r="D163" s="5" t="s">
        <v>1466</v>
      </c>
      <c r="E163" s="6"/>
      <c r="F163" s="5">
        <v>9.83393968E8</v>
      </c>
      <c r="G163" s="5" t="s">
        <v>40</v>
      </c>
      <c r="H163" s="5">
        <v>1979.0</v>
      </c>
      <c r="I163" s="5" t="s">
        <v>18</v>
      </c>
      <c r="J163" s="5" t="s">
        <v>56</v>
      </c>
    </row>
    <row r="164" ht="15.75" customHeight="1">
      <c r="A164" s="4" t="s">
        <v>1711</v>
      </c>
      <c r="B164" s="5" t="s">
        <v>1712</v>
      </c>
      <c r="C164" s="5" t="s">
        <v>1713</v>
      </c>
      <c r="D164" s="5" t="s">
        <v>1714</v>
      </c>
      <c r="E164" s="6"/>
      <c r="F164" s="5" t="s">
        <v>1715</v>
      </c>
      <c r="G164" s="5" t="s">
        <v>17</v>
      </c>
      <c r="H164" s="5">
        <v>1972.0</v>
      </c>
      <c r="I164" s="5" t="s">
        <v>18</v>
      </c>
      <c r="J164" s="5" t="s">
        <v>107</v>
      </c>
    </row>
    <row r="165" ht="15.75" customHeight="1">
      <c r="A165" s="4" t="s">
        <v>1716</v>
      </c>
      <c r="B165" s="5" t="s">
        <v>1717</v>
      </c>
      <c r="C165" s="5" t="s">
        <v>1718</v>
      </c>
      <c r="D165" s="5" t="s">
        <v>1719</v>
      </c>
      <c r="E165" s="6"/>
      <c r="F165" s="5" t="s">
        <v>1720</v>
      </c>
      <c r="G165" s="5" t="s">
        <v>40</v>
      </c>
      <c r="H165" s="5">
        <v>1962.0</v>
      </c>
      <c r="I165" s="5" t="s">
        <v>18</v>
      </c>
      <c r="J165" s="5" t="s">
        <v>107</v>
      </c>
    </row>
    <row r="166" ht="15.75" customHeight="1">
      <c r="A166" s="4" t="s">
        <v>1721</v>
      </c>
      <c r="B166" s="5" t="s">
        <v>1722</v>
      </c>
      <c r="C166" s="5" t="s">
        <v>936</v>
      </c>
      <c r="D166" s="5" t="s">
        <v>937</v>
      </c>
      <c r="E166" s="6"/>
      <c r="F166" s="5" t="s">
        <v>938</v>
      </c>
      <c r="G166" s="5" t="s">
        <v>17</v>
      </c>
      <c r="H166" s="5">
        <v>1972.0</v>
      </c>
      <c r="I166" s="5" t="s">
        <v>18</v>
      </c>
      <c r="J166" s="5" t="s">
        <v>107</v>
      </c>
    </row>
    <row r="167" ht="15.75" customHeight="1">
      <c r="A167" s="4" t="s">
        <v>1723</v>
      </c>
      <c r="B167" s="5" t="s">
        <v>1724</v>
      </c>
      <c r="C167" s="5" t="s">
        <v>1725</v>
      </c>
      <c r="D167" s="5" t="s">
        <v>1726</v>
      </c>
      <c r="E167" s="6"/>
      <c r="F167" s="5" t="s">
        <v>1431</v>
      </c>
      <c r="G167" s="5" t="s">
        <v>40</v>
      </c>
      <c r="H167" s="5">
        <v>1969.0</v>
      </c>
      <c r="I167" s="5" t="s">
        <v>18</v>
      </c>
      <c r="J167" s="5" t="s">
        <v>1189</v>
      </c>
    </row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13"/>
    <col customWidth="1" min="2" max="2" width="13.38"/>
    <col customWidth="1" min="3" max="3" width="25.13"/>
    <col customWidth="1" min="4" max="4" width="28.0"/>
    <col customWidth="1" min="5" max="6" width="14.38"/>
    <col customWidth="1" min="7" max="7" width="8.88"/>
    <col customWidth="1" min="8" max="8" width="7.63"/>
    <col customWidth="1" min="9" max="9" width="14.38"/>
    <col customWidth="1" min="10" max="10" width="37.38"/>
    <col customWidth="1" min="11" max="26" width="14.38"/>
  </cols>
  <sheetData>
    <row r="1" ht="15.75" customHeight="1">
      <c r="A1" s="1" t="s">
        <v>1727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4" t="s">
        <v>10</v>
      </c>
      <c r="B2" s="5" t="s">
        <v>11</v>
      </c>
      <c r="C2" s="5" t="s">
        <v>12</v>
      </c>
      <c r="D2" s="5" t="s">
        <v>12</v>
      </c>
      <c r="E2" s="5" t="s">
        <v>12</v>
      </c>
      <c r="F2" s="5" t="s">
        <v>13</v>
      </c>
      <c r="G2" s="5" t="s">
        <v>12</v>
      </c>
      <c r="H2" s="5" t="s">
        <v>12</v>
      </c>
      <c r="I2" s="5" t="s">
        <v>12</v>
      </c>
      <c r="J2" s="6"/>
    </row>
    <row r="3" ht="15.75" customHeight="1">
      <c r="A3" s="4" t="s">
        <v>1728</v>
      </c>
      <c r="B3" s="5" t="s">
        <v>1729</v>
      </c>
      <c r="C3" s="5" t="s">
        <v>1730</v>
      </c>
      <c r="D3" s="5" t="s">
        <v>1731</v>
      </c>
      <c r="E3" s="6"/>
      <c r="F3" s="5" t="s">
        <v>1732</v>
      </c>
      <c r="G3" s="5" t="s">
        <v>40</v>
      </c>
      <c r="H3" s="5">
        <v>1977.0</v>
      </c>
      <c r="I3" s="5" t="s">
        <v>70</v>
      </c>
      <c r="J3" s="5" t="s">
        <v>856</v>
      </c>
    </row>
    <row r="4" ht="15.75" customHeight="1">
      <c r="A4" s="4" t="s">
        <v>1733</v>
      </c>
      <c r="B4" s="5" t="s">
        <v>1734</v>
      </c>
      <c r="C4" s="5" t="s">
        <v>1735</v>
      </c>
      <c r="D4" s="5" t="s">
        <v>1736</v>
      </c>
      <c r="E4" s="6"/>
      <c r="F4" s="5" t="s">
        <v>1737</v>
      </c>
      <c r="G4" s="5" t="s">
        <v>40</v>
      </c>
      <c r="H4" s="5">
        <v>1982.0</v>
      </c>
      <c r="I4" s="5" t="s">
        <v>18</v>
      </c>
      <c r="J4" s="5" t="s">
        <v>1399</v>
      </c>
    </row>
    <row r="5" ht="15.75" customHeight="1">
      <c r="A5" s="4" t="s">
        <v>1738</v>
      </c>
      <c r="B5" s="5" t="s">
        <v>1739</v>
      </c>
      <c r="C5" s="5" t="s">
        <v>1740</v>
      </c>
      <c r="D5" s="5" t="s">
        <v>1741</v>
      </c>
      <c r="E5" s="6"/>
      <c r="F5" s="5" t="s">
        <v>1742</v>
      </c>
      <c r="G5" s="5" t="s">
        <v>17</v>
      </c>
      <c r="H5" s="5">
        <v>1964.0</v>
      </c>
      <c r="I5" s="5" t="s">
        <v>18</v>
      </c>
      <c r="J5" s="5" t="s">
        <v>1048</v>
      </c>
    </row>
    <row r="6" ht="15.75" customHeight="1">
      <c r="A6" s="4" t="s">
        <v>1743</v>
      </c>
      <c r="B6" s="5" t="s">
        <v>1744</v>
      </c>
      <c r="C6" s="5" t="s">
        <v>1745</v>
      </c>
      <c r="D6" s="5" t="s">
        <v>1746</v>
      </c>
      <c r="E6" s="6"/>
      <c r="F6" s="5" t="s">
        <v>1747</v>
      </c>
      <c r="G6" s="5" t="s">
        <v>40</v>
      </c>
      <c r="H6" s="5">
        <v>1976.0</v>
      </c>
      <c r="I6" s="5" t="s">
        <v>18</v>
      </c>
      <c r="J6" s="5" t="s">
        <v>534</v>
      </c>
    </row>
    <row r="7" ht="15.75" customHeight="1">
      <c r="A7" s="4" t="s">
        <v>1748</v>
      </c>
      <c r="B7" s="5" t="s">
        <v>1749</v>
      </c>
      <c r="C7" s="5" t="s">
        <v>30</v>
      </c>
      <c r="D7" s="5" t="s">
        <v>31</v>
      </c>
      <c r="E7" s="6"/>
      <c r="F7" s="5">
        <v>9.03845554E8</v>
      </c>
      <c r="G7" s="5" t="s">
        <v>17</v>
      </c>
      <c r="H7" s="5">
        <v>1970.0</v>
      </c>
      <c r="I7" s="5" t="s">
        <v>18</v>
      </c>
      <c r="J7" s="5" t="s">
        <v>1399</v>
      </c>
    </row>
    <row r="8" ht="15.75" customHeight="1">
      <c r="A8" s="4" t="s">
        <v>1750</v>
      </c>
      <c r="B8" s="5" t="s">
        <v>1751</v>
      </c>
      <c r="C8" s="5" t="s">
        <v>1752</v>
      </c>
      <c r="D8" s="5" t="s">
        <v>1753</v>
      </c>
      <c r="E8" s="6"/>
      <c r="F8" s="5" t="s">
        <v>1754</v>
      </c>
      <c r="G8" s="5" t="s">
        <v>17</v>
      </c>
      <c r="H8" s="5">
        <v>1971.0</v>
      </c>
      <c r="I8" s="5" t="s">
        <v>18</v>
      </c>
      <c r="J8" s="5" t="s">
        <v>1755</v>
      </c>
    </row>
    <row r="9" ht="15.75" customHeight="1">
      <c r="A9" s="4" t="s">
        <v>1756</v>
      </c>
      <c r="B9" s="5" t="s">
        <v>1757</v>
      </c>
      <c r="C9" s="5" t="s">
        <v>1758</v>
      </c>
      <c r="D9" s="5" t="s">
        <v>1759</v>
      </c>
      <c r="E9" s="6"/>
      <c r="F9" s="5" t="s">
        <v>1760</v>
      </c>
      <c r="G9" s="5" t="s">
        <v>40</v>
      </c>
      <c r="H9" s="5">
        <v>1975.0</v>
      </c>
      <c r="I9" s="5" t="s">
        <v>18</v>
      </c>
      <c r="J9" s="5" t="s">
        <v>1761</v>
      </c>
    </row>
    <row r="10" ht="15.75" customHeight="1">
      <c r="A10" s="4" t="s">
        <v>1762</v>
      </c>
      <c r="B10" s="5" t="s">
        <v>1763</v>
      </c>
      <c r="C10" s="5" t="s">
        <v>1764</v>
      </c>
      <c r="D10" s="5" t="s">
        <v>1765</v>
      </c>
      <c r="E10" s="6"/>
      <c r="F10" s="5" t="s">
        <v>1766</v>
      </c>
      <c r="G10" s="5" t="s">
        <v>40</v>
      </c>
      <c r="H10" s="5">
        <v>1985.0</v>
      </c>
      <c r="I10" s="5" t="s">
        <v>18</v>
      </c>
      <c r="J10" s="5" t="s">
        <v>1767</v>
      </c>
    </row>
    <row r="11" ht="15.75" customHeight="1">
      <c r="A11" s="4" t="s">
        <v>1768</v>
      </c>
      <c r="B11" s="5" t="s">
        <v>1769</v>
      </c>
      <c r="C11" s="5" t="s">
        <v>1770</v>
      </c>
      <c r="D11" s="5" t="s">
        <v>1771</v>
      </c>
      <c r="E11" s="6"/>
      <c r="F11" s="5" t="s">
        <v>1772</v>
      </c>
      <c r="G11" s="5" t="s">
        <v>40</v>
      </c>
      <c r="H11" s="5">
        <v>1960.0</v>
      </c>
      <c r="I11" s="5" t="s">
        <v>18</v>
      </c>
      <c r="J11" s="5" t="s">
        <v>985</v>
      </c>
    </row>
    <row r="12" ht="15.75" customHeight="1">
      <c r="A12" s="4" t="s">
        <v>1773</v>
      </c>
      <c r="B12" s="5" t="s">
        <v>935</v>
      </c>
      <c r="C12" s="5" t="s">
        <v>1774</v>
      </c>
      <c r="D12" s="5" t="s">
        <v>361</v>
      </c>
      <c r="E12" s="6"/>
      <c r="F12" s="5" t="s">
        <v>1775</v>
      </c>
      <c r="G12" s="5" t="s">
        <v>17</v>
      </c>
      <c r="H12" s="5">
        <v>1962.0</v>
      </c>
      <c r="I12" s="5" t="s">
        <v>18</v>
      </c>
      <c r="J12" s="5" t="s">
        <v>1030</v>
      </c>
    </row>
    <row r="13" ht="15.75" customHeight="1">
      <c r="A13" s="4" t="s">
        <v>1776</v>
      </c>
      <c r="B13" s="5" t="s">
        <v>1777</v>
      </c>
      <c r="C13" s="5" t="s">
        <v>1778</v>
      </c>
      <c r="D13" s="5" t="s">
        <v>1779</v>
      </c>
      <c r="E13" s="6"/>
      <c r="F13" s="5" t="s">
        <v>1780</v>
      </c>
      <c r="G13" s="5" t="s">
        <v>17</v>
      </c>
      <c r="H13" s="5">
        <v>1957.0</v>
      </c>
      <c r="I13" s="5" t="s">
        <v>18</v>
      </c>
      <c r="J13" s="5" t="s">
        <v>107</v>
      </c>
    </row>
    <row r="14" ht="15.75" customHeight="1">
      <c r="A14" s="4" t="s">
        <v>1781</v>
      </c>
      <c r="B14" s="5" t="s">
        <v>1782</v>
      </c>
      <c r="C14" s="5" t="s">
        <v>1783</v>
      </c>
      <c r="D14" s="5" t="s">
        <v>1784</v>
      </c>
      <c r="E14" s="6"/>
      <c r="F14" s="5" t="s">
        <v>1785</v>
      </c>
      <c r="G14" s="5" t="s">
        <v>17</v>
      </c>
      <c r="H14" s="5">
        <v>1974.0</v>
      </c>
      <c r="I14" s="5" t="s">
        <v>18</v>
      </c>
      <c r="J14" s="5" t="s">
        <v>985</v>
      </c>
    </row>
    <row r="15" ht="15.75" customHeight="1">
      <c r="A15" s="4" t="s">
        <v>1786</v>
      </c>
      <c r="B15" s="5" t="s">
        <v>1787</v>
      </c>
      <c r="C15" s="5" t="s">
        <v>1788</v>
      </c>
      <c r="D15" s="5" t="s">
        <v>1789</v>
      </c>
      <c r="E15" s="6"/>
      <c r="F15" s="5" t="s">
        <v>1790</v>
      </c>
      <c r="G15" s="5" t="s">
        <v>40</v>
      </c>
      <c r="H15" s="5">
        <v>1985.0</v>
      </c>
      <c r="I15" s="5" t="s">
        <v>18</v>
      </c>
      <c r="J15" s="5" t="s">
        <v>1791</v>
      </c>
    </row>
    <row r="16" ht="15.75" customHeight="1">
      <c r="A16" s="4" t="s">
        <v>1792</v>
      </c>
      <c r="B16" s="5" t="s">
        <v>771</v>
      </c>
      <c r="C16" s="5" t="s">
        <v>1793</v>
      </c>
      <c r="D16" s="5" t="s">
        <v>1794</v>
      </c>
      <c r="E16" s="6"/>
      <c r="F16" s="5" t="s">
        <v>1795</v>
      </c>
      <c r="G16" s="5" t="s">
        <v>17</v>
      </c>
      <c r="H16" s="5">
        <v>1974.0</v>
      </c>
      <c r="I16" s="5" t="s">
        <v>18</v>
      </c>
      <c r="J16" s="5" t="s">
        <v>1088</v>
      </c>
    </row>
    <row r="17" ht="15.75" customHeight="1">
      <c r="A17" s="4" t="s">
        <v>1796</v>
      </c>
      <c r="B17" s="5" t="s">
        <v>1797</v>
      </c>
      <c r="C17" s="5" t="s">
        <v>1798</v>
      </c>
      <c r="D17" s="5" t="s">
        <v>1799</v>
      </c>
      <c r="E17" s="6"/>
      <c r="F17" s="5" t="s">
        <v>1800</v>
      </c>
      <c r="G17" s="5" t="s">
        <v>40</v>
      </c>
      <c r="H17" s="5">
        <v>1957.0</v>
      </c>
      <c r="I17" s="5" t="s">
        <v>70</v>
      </c>
      <c r="J17" s="5" t="s">
        <v>107</v>
      </c>
    </row>
    <row r="18" ht="15.75" customHeight="1">
      <c r="A18" s="4" t="s">
        <v>1801</v>
      </c>
      <c r="B18" s="5" t="s">
        <v>1763</v>
      </c>
      <c r="C18" s="5" t="s">
        <v>1802</v>
      </c>
      <c r="D18" s="5" t="s">
        <v>1803</v>
      </c>
      <c r="E18" s="6"/>
      <c r="F18" s="5" t="s">
        <v>1804</v>
      </c>
      <c r="G18" s="5" t="s">
        <v>40</v>
      </c>
      <c r="H18" s="5">
        <v>1976.0</v>
      </c>
      <c r="I18" s="5" t="s">
        <v>18</v>
      </c>
      <c r="J18" s="5" t="s">
        <v>1805</v>
      </c>
    </row>
    <row r="19" ht="15.75" customHeight="1">
      <c r="A19" s="4" t="s">
        <v>1806</v>
      </c>
      <c r="B19" s="5" t="s">
        <v>1807</v>
      </c>
      <c r="C19" s="5" t="s">
        <v>1808</v>
      </c>
      <c r="D19" s="5" t="s">
        <v>1809</v>
      </c>
      <c r="E19" s="6"/>
      <c r="F19" s="5" t="s">
        <v>1810</v>
      </c>
      <c r="G19" s="5" t="s">
        <v>17</v>
      </c>
      <c r="H19" s="5">
        <v>1975.0</v>
      </c>
      <c r="I19" s="5" t="s">
        <v>18</v>
      </c>
      <c r="J19" s="5" t="s">
        <v>1162</v>
      </c>
    </row>
    <row r="20" ht="15.75" customHeight="1">
      <c r="A20" s="4" t="s">
        <v>1811</v>
      </c>
      <c r="B20" s="5" t="s">
        <v>1812</v>
      </c>
      <c r="C20" s="5" t="s">
        <v>1813</v>
      </c>
      <c r="D20" s="5" t="s">
        <v>1814</v>
      </c>
      <c r="E20" s="6"/>
      <c r="F20" s="5" t="s">
        <v>1815</v>
      </c>
      <c r="G20" s="5" t="s">
        <v>17</v>
      </c>
      <c r="H20" s="5">
        <v>1979.0</v>
      </c>
      <c r="I20" s="5" t="s">
        <v>18</v>
      </c>
      <c r="J20" s="5" t="s">
        <v>985</v>
      </c>
    </row>
    <row r="21" ht="15.75" customHeight="1">
      <c r="A21" s="4" t="s">
        <v>1816</v>
      </c>
      <c r="B21" s="5" t="s">
        <v>1817</v>
      </c>
      <c r="C21" s="5" t="s">
        <v>1818</v>
      </c>
      <c r="D21" s="5" t="s">
        <v>1819</v>
      </c>
      <c r="E21" s="6"/>
      <c r="F21" s="5" t="s">
        <v>1820</v>
      </c>
      <c r="G21" s="5" t="s">
        <v>17</v>
      </c>
      <c r="H21" s="5">
        <v>1944.0</v>
      </c>
      <c r="I21" s="5" t="s">
        <v>870</v>
      </c>
      <c r="J21" s="5" t="s">
        <v>1277</v>
      </c>
    </row>
    <row r="22" ht="15.75" customHeight="1">
      <c r="A22" s="4" t="s">
        <v>1821</v>
      </c>
      <c r="B22" s="5" t="s">
        <v>1822</v>
      </c>
      <c r="C22" s="5" t="s">
        <v>1823</v>
      </c>
      <c r="D22" s="6"/>
      <c r="E22" s="5" t="s">
        <v>1824</v>
      </c>
      <c r="F22" s="5" t="s">
        <v>1825</v>
      </c>
      <c r="G22" s="5" t="s">
        <v>40</v>
      </c>
      <c r="H22" s="5">
        <v>1958.0</v>
      </c>
      <c r="I22" s="5" t="s">
        <v>870</v>
      </c>
      <c r="J22" s="5" t="s">
        <v>1266</v>
      </c>
    </row>
    <row r="23" ht="15.75" customHeight="1">
      <c r="A23" s="4" t="s">
        <v>1826</v>
      </c>
      <c r="B23" s="5" t="s">
        <v>1827</v>
      </c>
      <c r="C23" s="5" t="s">
        <v>1828</v>
      </c>
      <c r="D23" s="5" t="s">
        <v>1829</v>
      </c>
      <c r="E23" s="6"/>
      <c r="F23" s="5" t="s">
        <v>1830</v>
      </c>
      <c r="G23" s="5" t="s">
        <v>40</v>
      </c>
      <c r="H23" s="5">
        <v>1982.0</v>
      </c>
      <c r="I23" s="5" t="s">
        <v>18</v>
      </c>
      <c r="J23" s="5" t="s">
        <v>985</v>
      </c>
    </row>
    <row r="24" ht="15.75" customHeight="1">
      <c r="A24" s="4" t="s">
        <v>1831</v>
      </c>
      <c r="B24" s="5" t="s">
        <v>1832</v>
      </c>
      <c r="C24" s="5" t="s">
        <v>1833</v>
      </c>
      <c r="D24" s="5" t="s">
        <v>1834</v>
      </c>
      <c r="E24" s="6"/>
      <c r="F24" s="5" t="s">
        <v>1835</v>
      </c>
      <c r="G24" s="5" t="s">
        <v>17</v>
      </c>
      <c r="H24" s="5">
        <v>1972.0</v>
      </c>
      <c r="I24" s="5" t="s">
        <v>18</v>
      </c>
      <c r="J24" s="5" t="s">
        <v>1088</v>
      </c>
    </row>
    <row r="25" ht="15.75" customHeight="1">
      <c r="A25" s="4" t="s">
        <v>1836</v>
      </c>
      <c r="B25" s="5" t="s">
        <v>1837</v>
      </c>
      <c r="C25" s="5" t="s">
        <v>1838</v>
      </c>
      <c r="D25" s="5" t="s">
        <v>1839</v>
      </c>
      <c r="E25" s="6"/>
      <c r="F25" s="5" t="s">
        <v>1840</v>
      </c>
      <c r="G25" s="5" t="s">
        <v>40</v>
      </c>
      <c r="H25" s="5">
        <v>1973.0</v>
      </c>
      <c r="I25" s="5" t="s">
        <v>18</v>
      </c>
      <c r="J25" s="5" t="s">
        <v>985</v>
      </c>
    </row>
    <row r="26" ht="15.75" customHeight="1">
      <c r="A26" s="4" t="s">
        <v>1841</v>
      </c>
      <c r="B26" s="5" t="s">
        <v>1842</v>
      </c>
      <c r="C26" s="5" t="s">
        <v>1843</v>
      </c>
      <c r="D26" s="5" t="s">
        <v>1844</v>
      </c>
      <c r="E26" s="5" t="s">
        <v>1845</v>
      </c>
      <c r="F26" s="5" t="s">
        <v>1846</v>
      </c>
      <c r="G26" s="5" t="s">
        <v>40</v>
      </c>
      <c r="H26" s="5">
        <v>1976.0</v>
      </c>
      <c r="I26" s="5" t="s">
        <v>18</v>
      </c>
      <c r="J26" s="5" t="s">
        <v>1048</v>
      </c>
    </row>
    <row r="27" ht="15.75" customHeight="1">
      <c r="A27" s="4" t="s">
        <v>1847</v>
      </c>
      <c r="B27" s="5" t="s">
        <v>1848</v>
      </c>
      <c r="C27" s="5" t="s">
        <v>1849</v>
      </c>
      <c r="D27" s="5" t="s">
        <v>1850</v>
      </c>
      <c r="E27" s="5" t="s">
        <v>162</v>
      </c>
      <c r="F27" s="6"/>
      <c r="G27" s="5" t="s">
        <v>40</v>
      </c>
      <c r="H27" s="5">
        <v>1982.0</v>
      </c>
      <c r="I27" s="5" t="s">
        <v>18</v>
      </c>
      <c r="J27" s="5" t="s">
        <v>1851</v>
      </c>
    </row>
    <row r="28" ht="15.75" customHeight="1">
      <c r="A28" s="4" t="s">
        <v>1852</v>
      </c>
      <c r="B28" s="5" t="s">
        <v>1853</v>
      </c>
      <c r="C28" s="5" t="s">
        <v>151</v>
      </c>
      <c r="D28" s="5" t="s">
        <v>152</v>
      </c>
      <c r="E28" s="5" t="s">
        <v>1854</v>
      </c>
      <c r="F28" s="5" t="s">
        <v>153</v>
      </c>
      <c r="G28" s="5" t="s">
        <v>40</v>
      </c>
      <c r="H28" s="5">
        <v>1979.0</v>
      </c>
      <c r="I28" s="5" t="s">
        <v>18</v>
      </c>
      <c r="J28" s="5" t="s">
        <v>107</v>
      </c>
    </row>
    <row r="29" ht="15.75" customHeight="1">
      <c r="A29" s="4" t="s">
        <v>1855</v>
      </c>
      <c r="B29" s="5" t="s">
        <v>1769</v>
      </c>
      <c r="C29" s="5" t="s">
        <v>1856</v>
      </c>
      <c r="D29" s="5" t="s">
        <v>1857</v>
      </c>
      <c r="E29" s="6"/>
      <c r="F29" s="5" t="s">
        <v>1858</v>
      </c>
      <c r="G29" s="5" t="s">
        <v>17</v>
      </c>
      <c r="H29" s="5">
        <v>1975.0</v>
      </c>
      <c r="I29" s="5" t="s">
        <v>18</v>
      </c>
      <c r="J29" s="5" t="s">
        <v>985</v>
      </c>
    </row>
    <row r="30" ht="15.75" customHeight="1">
      <c r="A30" s="4" t="s">
        <v>1859</v>
      </c>
      <c r="B30" s="5" t="s">
        <v>1812</v>
      </c>
      <c r="C30" s="5" t="s">
        <v>1860</v>
      </c>
      <c r="D30" s="5" t="s">
        <v>1861</v>
      </c>
      <c r="E30" s="6"/>
      <c r="F30" s="5" t="s">
        <v>1862</v>
      </c>
      <c r="G30" s="5" t="s">
        <v>40</v>
      </c>
      <c r="H30" s="5">
        <v>1982.0</v>
      </c>
      <c r="I30" s="5" t="s">
        <v>18</v>
      </c>
      <c r="J30" s="5" t="s">
        <v>1088</v>
      </c>
    </row>
    <row r="31" ht="15.75" customHeight="1">
      <c r="A31" s="4" t="s">
        <v>1863</v>
      </c>
      <c r="B31" s="5" t="s">
        <v>1864</v>
      </c>
      <c r="C31" s="5" t="s">
        <v>1865</v>
      </c>
      <c r="D31" s="5" t="s">
        <v>1866</v>
      </c>
      <c r="E31" s="6"/>
      <c r="F31" s="5" t="s">
        <v>1867</v>
      </c>
      <c r="G31" s="5" t="s">
        <v>17</v>
      </c>
      <c r="H31" s="5">
        <v>1960.0</v>
      </c>
      <c r="I31" s="5" t="s">
        <v>18</v>
      </c>
      <c r="J31" s="5" t="s">
        <v>985</v>
      </c>
    </row>
    <row r="32" ht="15.75" customHeight="1">
      <c r="A32" s="4" t="s">
        <v>1868</v>
      </c>
      <c r="B32" s="5" t="s">
        <v>1869</v>
      </c>
      <c r="C32" s="5" t="s">
        <v>1870</v>
      </c>
      <c r="D32" s="5" t="s">
        <v>1871</v>
      </c>
      <c r="E32" s="6"/>
      <c r="F32" s="5" t="s">
        <v>1872</v>
      </c>
      <c r="G32" s="5" t="s">
        <v>40</v>
      </c>
      <c r="H32" s="5">
        <v>1970.0</v>
      </c>
      <c r="I32" s="5" t="s">
        <v>18</v>
      </c>
      <c r="J32" s="5" t="s">
        <v>1088</v>
      </c>
    </row>
    <row r="33" ht="15.75" customHeight="1">
      <c r="A33" s="4" t="s">
        <v>1873</v>
      </c>
      <c r="B33" s="5" t="s">
        <v>1874</v>
      </c>
      <c r="C33" s="5" t="s">
        <v>1875</v>
      </c>
      <c r="D33" s="5" t="s">
        <v>1876</v>
      </c>
      <c r="E33" s="6"/>
      <c r="F33" s="5" t="s">
        <v>1877</v>
      </c>
      <c r="G33" s="5" t="s">
        <v>40</v>
      </c>
      <c r="H33" s="5">
        <v>1959.0</v>
      </c>
      <c r="I33" s="5" t="s">
        <v>18</v>
      </c>
      <c r="J33" s="5" t="s">
        <v>1048</v>
      </c>
    </row>
    <row r="34" ht="15.75" customHeight="1">
      <c r="A34" s="4" t="s">
        <v>1878</v>
      </c>
      <c r="B34" s="5" t="s">
        <v>1853</v>
      </c>
      <c r="C34" s="5" t="s">
        <v>1879</v>
      </c>
      <c r="D34" s="5" t="s">
        <v>1880</v>
      </c>
      <c r="E34" s="6"/>
      <c r="F34" s="5" t="s">
        <v>1881</v>
      </c>
      <c r="G34" s="5" t="s">
        <v>40</v>
      </c>
      <c r="H34" s="5">
        <v>1958.0</v>
      </c>
      <c r="I34" s="5" t="s">
        <v>18</v>
      </c>
      <c r="J34" s="5" t="s">
        <v>107</v>
      </c>
    </row>
    <row r="35" ht="15.75" customHeight="1">
      <c r="A35" s="4" t="s">
        <v>1882</v>
      </c>
      <c r="B35" s="5" t="s">
        <v>1883</v>
      </c>
      <c r="C35" s="5" t="s">
        <v>1391</v>
      </c>
      <c r="D35" s="5" t="s">
        <v>1392</v>
      </c>
      <c r="E35" s="5" t="s">
        <v>1393</v>
      </c>
      <c r="F35" s="5" t="s">
        <v>1394</v>
      </c>
      <c r="G35" s="6"/>
      <c r="H35" s="5">
        <v>0.0</v>
      </c>
      <c r="I35" s="5" t="s">
        <v>18</v>
      </c>
      <c r="J35" s="5" t="s">
        <v>1399</v>
      </c>
    </row>
    <row r="36" ht="15.75" customHeight="1">
      <c r="A36" s="4" t="s">
        <v>1884</v>
      </c>
      <c r="B36" s="5" t="s">
        <v>1885</v>
      </c>
      <c r="C36" s="5" t="s">
        <v>1886</v>
      </c>
      <c r="D36" s="5" t="s">
        <v>1887</v>
      </c>
      <c r="E36" s="6"/>
      <c r="F36" s="5" t="s">
        <v>1888</v>
      </c>
      <c r="G36" s="5" t="s">
        <v>40</v>
      </c>
      <c r="H36" s="5">
        <v>1982.0</v>
      </c>
      <c r="I36" s="5" t="s">
        <v>18</v>
      </c>
      <c r="J36" s="5" t="s">
        <v>1162</v>
      </c>
    </row>
    <row r="37" ht="15.75" customHeight="1">
      <c r="A37" s="4" t="s">
        <v>1889</v>
      </c>
      <c r="B37" s="5" t="s">
        <v>1890</v>
      </c>
      <c r="C37" s="5" t="s">
        <v>1891</v>
      </c>
      <c r="D37" s="5" t="s">
        <v>1779</v>
      </c>
      <c r="E37" s="6"/>
      <c r="F37" s="5" t="s">
        <v>1780</v>
      </c>
      <c r="G37" s="5" t="s">
        <v>17</v>
      </c>
      <c r="H37" s="5">
        <v>1979.0</v>
      </c>
      <c r="I37" s="5" t="s">
        <v>18</v>
      </c>
      <c r="J37" s="5" t="s">
        <v>107</v>
      </c>
    </row>
    <row r="38" ht="15.75" customHeight="1">
      <c r="A38" s="4" t="s">
        <v>1892</v>
      </c>
      <c r="B38" s="5" t="s">
        <v>1822</v>
      </c>
      <c r="C38" s="5" t="s">
        <v>1893</v>
      </c>
      <c r="D38" s="5" t="s">
        <v>1894</v>
      </c>
      <c r="E38" s="6"/>
      <c r="F38" s="5" t="s">
        <v>1895</v>
      </c>
      <c r="G38" s="5" t="s">
        <v>17</v>
      </c>
      <c r="H38" s="5">
        <v>1962.0</v>
      </c>
      <c r="I38" s="5" t="s">
        <v>18</v>
      </c>
      <c r="J38" s="5" t="s">
        <v>1088</v>
      </c>
    </row>
    <row r="39" ht="15.75" customHeight="1">
      <c r="A39" s="4" t="s">
        <v>1896</v>
      </c>
      <c r="B39" s="5" t="s">
        <v>1897</v>
      </c>
      <c r="C39" s="5" t="s">
        <v>1383</v>
      </c>
      <c r="D39" s="5" t="s">
        <v>1384</v>
      </c>
      <c r="E39" s="5" t="s">
        <v>162</v>
      </c>
      <c r="F39" s="5" t="s">
        <v>162</v>
      </c>
      <c r="G39" s="5" t="s">
        <v>17</v>
      </c>
      <c r="H39" s="5">
        <v>1953.0</v>
      </c>
      <c r="I39" s="5" t="s">
        <v>70</v>
      </c>
      <c r="J39" s="5" t="s">
        <v>107</v>
      </c>
    </row>
    <row r="40" ht="15.75" customHeight="1">
      <c r="A40" s="4" t="s">
        <v>1898</v>
      </c>
      <c r="B40" s="5" t="s">
        <v>1763</v>
      </c>
      <c r="C40" s="5" t="s">
        <v>1899</v>
      </c>
      <c r="D40" s="5" t="s">
        <v>361</v>
      </c>
      <c r="E40" s="6"/>
      <c r="F40" s="5" t="s">
        <v>1900</v>
      </c>
      <c r="G40" s="5" t="s">
        <v>17</v>
      </c>
      <c r="H40" s="5">
        <v>1967.0</v>
      </c>
      <c r="I40" s="5" t="s">
        <v>18</v>
      </c>
      <c r="J40" s="5" t="s">
        <v>1140</v>
      </c>
    </row>
    <row r="41" ht="15.75" customHeight="1">
      <c r="A41" s="4" t="s">
        <v>1901</v>
      </c>
      <c r="B41" s="5" t="s">
        <v>1902</v>
      </c>
      <c r="C41" s="5" t="s">
        <v>1903</v>
      </c>
      <c r="D41" s="5" t="s">
        <v>1904</v>
      </c>
      <c r="E41" s="5" t="s">
        <v>1905</v>
      </c>
      <c r="F41" s="5" t="s">
        <v>1906</v>
      </c>
      <c r="G41" s="5" t="s">
        <v>17</v>
      </c>
      <c r="H41" s="5">
        <v>1966.0</v>
      </c>
      <c r="I41" s="5" t="s">
        <v>70</v>
      </c>
      <c r="J41" s="5" t="s">
        <v>107</v>
      </c>
    </row>
    <row r="42" ht="15.75" customHeight="1">
      <c r="A42" s="4" t="s">
        <v>1907</v>
      </c>
      <c r="B42" s="5" t="s">
        <v>1812</v>
      </c>
      <c r="C42" s="5" t="s">
        <v>1908</v>
      </c>
      <c r="D42" s="5" t="s">
        <v>1909</v>
      </c>
      <c r="E42" s="6"/>
      <c r="F42" s="5" t="s">
        <v>1910</v>
      </c>
      <c r="G42" s="5" t="s">
        <v>40</v>
      </c>
      <c r="H42" s="5">
        <v>1972.0</v>
      </c>
      <c r="I42" s="5" t="s">
        <v>18</v>
      </c>
      <c r="J42" s="5" t="s">
        <v>1088</v>
      </c>
    </row>
    <row r="43" ht="15.75" customHeight="1">
      <c r="A43" s="4" t="s">
        <v>1911</v>
      </c>
      <c r="B43" s="5" t="s">
        <v>1912</v>
      </c>
      <c r="C43" s="5" t="s">
        <v>1913</v>
      </c>
      <c r="D43" s="5" t="s">
        <v>1914</v>
      </c>
      <c r="E43" s="5" t="s">
        <v>1915</v>
      </c>
      <c r="F43" s="5" t="s">
        <v>1916</v>
      </c>
      <c r="G43" s="5" t="s">
        <v>40</v>
      </c>
      <c r="H43" s="5">
        <v>1986.0</v>
      </c>
      <c r="I43" s="5" t="s">
        <v>18</v>
      </c>
      <c r="J43" s="5" t="s">
        <v>985</v>
      </c>
    </row>
    <row r="44" ht="15.75" customHeight="1">
      <c r="A44" s="4" t="s">
        <v>1917</v>
      </c>
      <c r="B44" s="5" t="s">
        <v>1918</v>
      </c>
      <c r="C44" s="5" t="s">
        <v>1919</v>
      </c>
      <c r="D44" s="5" t="s">
        <v>1920</v>
      </c>
      <c r="E44" s="6"/>
      <c r="F44" s="5" t="s">
        <v>1921</v>
      </c>
      <c r="G44" s="5" t="s">
        <v>40</v>
      </c>
      <c r="H44" s="5">
        <v>1991.0</v>
      </c>
      <c r="I44" s="5" t="s">
        <v>18</v>
      </c>
      <c r="J44" s="5" t="s">
        <v>985</v>
      </c>
    </row>
    <row r="45" ht="15.75" customHeight="1">
      <c r="A45" s="4" t="s">
        <v>1922</v>
      </c>
      <c r="B45" s="5" t="s">
        <v>1923</v>
      </c>
      <c r="C45" s="5" t="s">
        <v>1924</v>
      </c>
      <c r="D45" s="5" t="s">
        <v>1925</v>
      </c>
      <c r="E45" s="5" t="s">
        <v>162</v>
      </c>
      <c r="F45" s="5" t="s">
        <v>162</v>
      </c>
      <c r="G45" s="5" t="s">
        <v>17</v>
      </c>
      <c r="H45" s="5">
        <v>1960.0</v>
      </c>
      <c r="I45" s="5" t="s">
        <v>70</v>
      </c>
      <c r="J45" s="5" t="s">
        <v>107</v>
      </c>
    </row>
    <row r="46" ht="15.75" customHeight="1">
      <c r="A46" s="4" t="s">
        <v>1926</v>
      </c>
      <c r="B46" s="5" t="s">
        <v>1927</v>
      </c>
      <c r="C46" s="5" t="s">
        <v>1928</v>
      </c>
      <c r="D46" s="5" t="s">
        <v>1929</v>
      </c>
      <c r="E46" s="6"/>
      <c r="F46" s="5" t="s">
        <v>1930</v>
      </c>
      <c r="G46" s="5" t="s">
        <v>17</v>
      </c>
      <c r="H46" s="5">
        <v>1964.0</v>
      </c>
      <c r="I46" s="5" t="s">
        <v>18</v>
      </c>
      <c r="J46" s="5" t="s">
        <v>226</v>
      </c>
    </row>
    <row r="47" ht="15.75" customHeight="1">
      <c r="A47" s="4" t="s">
        <v>1931</v>
      </c>
      <c r="B47" s="5" t="s">
        <v>1932</v>
      </c>
      <c r="C47" s="5" t="s">
        <v>1933</v>
      </c>
      <c r="D47" s="5" t="s">
        <v>1934</v>
      </c>
      <c r="E47" s="6"/>
      <c r="F47" s="5" t="s">
        <v>1935</v>
      </c>
      <c r="G47" s="5" t="s">
        <v>40</v>
      </c>
      <c r="H47" s="5">
        <v>1957.0</v>
      </c>
      <c r="I47" s="5" t="s">
        <v>18</v>
      </c>
      <c r="J47" s="5" t="s">
        <v>1036</v>
      </c>
    </row>
    <row r="48" ht="15.75" customHeight="1">
      <c r="A48" s="4" t="s">
        <v>1936</v>
      </c>
      <c r="B48" s="5" t="s">
        <v>1812</v>
      </c>
      <c r="C48" s="5" t="s">
        <v>1937</v>
      </c>
      <c r="D48" s="5" t="s">
        <v>1938</v>
      </c>
      <c r="E48" s="6"/>
      <c r="F48" s="5" t="s">
        <v>1939</v>
      </c>
      <c r="G48" s="5" t="s">
        <v>17</v>
      </c>
      <c r="H48" s="5">
        <v>1984.0</v>
      </c>
      <c r="I48" s="5" t="s">
        <v>18</v>
      </c>
      <c r="J48" s="5" t="s">
        <v>226</v>
      </c>
    </row>
    <row r="49" ht="15.75" customHeight="1">
      <c r="A49" s="4" t="s">
        <v>1940</v>
      </c>
      <c r="B49" s="5" t="s">
        <v>1941</v>
      </c>
      <c r="C49" s="5" t="s">
        <v>1942</v>
      </c>
      <c r="D49" s="5" t="s">
        <v>1943</v>
      </c>
      <c r="E49" s="6"/>
      <c r="F49" s="5" t="s">
        <v>1944</v>
      </c>
      <c r="G49" s="5" t="s">
        <v>40</v>
      </c>
      <c r="H49" s="5">
        <v>1972.0</v>
      </c>
      <c r="I49" s="5" t="s">
        <v>70</v>
      </c>
      <c r="J49" s="5" t="s">
        <v>1048</v>
      </c>
    </row>
    <row r="50" ht="15.75" customHeight="1">
      <c r="A50" s="4" t="s">
        <v>1945</v>
      </c>
      <c r="B50" s="5" t="s">
        <v>1946</v>
      </c>
      <c r="C50" s="5" t="s">
        <v>1947</v>
      </c>
      <c r="D50" s="5" t="s">
        <v>1948</v>
      </c>
      <c r="E50" s="6"/>
      <c r="F50" s="5" t="s">
        <v>1949</v>
      </c>
      <c r="G50" s="5" t="s">
        <v>40</v>
      </c>
      <c r="H50" s="5">
        <v>1979.0</v>
      </c>
      <c r="I50" s="5" t="s">
        <v>18</v>
      </c>
      <c r="J50" s="5" t="s">
        <v>1425</v>
      </c>
    </row>
    <row r="51" ht="15.75" customHeight="1">
      <c r="A51" s="4" t="s">
        <v>1950</v>
      </c>
      <c r="B51" s="5" t="s">
        <v>1951</v>
      </c>
      <c r="C51" s="5" t="s">
        <v>1952</v>
      </c>
      <c r="D51" s="5" t="s">
        <v>1953</v>
      </c>
      <c r="E51" s="6"/>
      <c r="F51" s="5" t="s">
        <v>162</v>
      </c>
      <c r="G51" s="5" t="s">
        <v>40</v>
      </c>
      <c r="H51" s="5">
        <v>1971.0</v>
      </c>
      <c r="I51" s="5" t="s">
        <v>18</v>
      </c>
      <c r="J51" s="5" t="s">
        <v>1071</v>
      </c>
    </row>
    <row r="52" ht="15.75" customHeight="1">
      <c r="A52" s="4" t="s">
        <v>1954</v>
      </c>
      <c r="B52" s="5" t="s">
        <v>1955</v>
      </c>
      <c r="C52" s="5" t="s">
        <v>1956</v>
      </c>
      <c r="D52" s="5" t="s">
        <v>1957</v>
      </c>
      <c r="E52" s="5" t="s">
        <v>1958</v>
      </c>
      <c r="F52" s="5" t="s">
        <v>1959</v>
      </c>
      <c r="G52" s="5" t="s">
        <v>17</v>
      </c>
      <c r="H52" s="5">
        <v>1976.0</v>
      </c>
      <c r="I52" s="5" t="s">
        <v>18</v>
      </c>
      <c r="J52" s="5" t="s">
        <v>985</v>
      </c>
    </row>
    <row r="53" ht="15.75" customHeight="1">
      <c r="A53" s="4" t="s">
        <v>1960</v>
      </c>
      <c r="B53" s="5" t="s">
        <v>1961</v>
      </c>
      <c r="C53" s="5" t="s">
        <v>1962</v>
      </c>
      <c r="D53" s="5" t="s">
        <v>1963</v>
      </c>
      <c r="E53" s="5" t="s">
        <v>1964</v>
      </c>
      <c r="F53" s="5" t="s">
        <v>1965</v>
      </c>
      <c r="G53" s="5" t="s">
        <v>40</v>
      </c>
      <c r="H53" s="5">
        <v>1970.0</v>
      </c>
      <c r="I53" s="5" t="s">
        <v>18</v>
      </c>
      <c r="J53" s="5" t="s">
        <v>1088</v>
      </c>
    </row>
    <row r="54" ht="15.75" customHeight="1">
      <c r="A54" s="4" t="s">
        <v>1966</v>
      </c>
      <c r="B54" s="5" t="s">
        <v>1967</v>
      </c>
      <c r="C54" s="5" t="s">
        <v>1968</v>
      </c>
      <c r="D54" s="5" t="s">
        <v>1969</v>
      </c>
      <c r="E54" s="6"/>
      <c r="F54" s="5" t="s">
        <v>1970</v>
      </c>
      <c r="G54" s="5" t="s">
        <v>17</v>
      </c>
      <c r="H54" s="5">
        <v>1986.0</v>
      </c>
      <c r="I54" s="5" t="s">
        <v>18</v>
      </c>
      <c r="J54" s="5" t="s">
        <v>226</v>
      </c>
    </row>
    <row r="55" ht="15.75" customHeight="1">
      <c r="A55" s="4" t="s">
        <v>1971</v>
      </c>
      <c r="B55" s="5" t="s">
        <v>1890</v>
      </c>
      <c r="C55" s="5" t="s">
        <v>1972</v>
      </c>
      <c r="D55" s="5" t="s">
        <v>1973</v>
      </c>
      <c r="E55" s="6"/>
      <c r="F55" s="5" t="s">
        <v>1974</v>
      </c>
      <c r="G55" s="5" t="s">
        <v>17</v>
      </c>
      <c r="H55" s="5">
        <v>1952.0</v>
      </c>
      <c r="I55" s="5" t="s">
        <v>70</v>
      </c>
      <c r="J55" s="5" t="s">
        <v>107</v>
      </c>
    </row>
    <row r="56" ht="15.75" customHeight="1">
      <c r="A56" s="4" t="s">
        <v>1975</v>
      </c>
      <c r="B56" s="5" t="s">
        <v>1976</v>
      </c>
      <c r="C56" s="5" t="s">
        <v>1977</v>
      </c>
      <c r="D56" s="5" t="s">
        <v>1978</v>
      </c>
      <c r="E56" s="6"/>
      <c r="F56" s="5" t="s">
        <v>1979</v>
      </c>
      <c r="G56" s="5" t="s">
        <v>17</v>
      </c>
      <c r="H56" s="5">
        <v>1968.0</v>
      </c>
      <c r="I56" s="5" t="s">
        <v>18</v>
      </c>
      <c r="J56" s="5" t="s">
        <v>226</v>
      </c>
    </row>
    <row r="57" ht="15.75" customHeight="1">
      <c r="A57" s="4" t="s">
        <v>1980</v>
      </c>
      <c r="B57" s="5" t="s">
        <v>1981</v>
      </c>
      <c r="C57" s="5" t="s">
        <v>1982</v>
      </c>
      <c r="D57" s="5" t="s">
        <v>1983</v>
      </c>
      <c r="E57" s="6"/>
      <c r="F57" s="5" t="s">
        <v>162</v>
      </c>
      <c r="G57" s="5" t="s">
        <v>40</v>
      </c>
      <c r="H57" s="5">
        <v>1946.0</v>
      </c>
      <c r="I57" s="5" t="s">
        <v>70</v>
      </c>
      <c r="J57" s="5" t="s">
        <v>1984</v>
      </c>
    </row>
    <row r="58" ht="15.75" customHeight="1">
      <c r="A58" s="4" t="s">
        <v>1985</v>
      </c>
      <c r="B58" s="5" t="s">
        <v>1729</v>
      </c>
      <c r="C58" s="5" t="s">
        <v>1986</v>
      </c>
      <c r="D58" s="5" t="s">
        <v>1987</v>
      </c>
      <c r="E58" s="6"/>
      <c r="F58" s="5" t="s">
        <v>1988</v>
      </c>
      <c r="G58" s="5" t="s">
        <v>17</v>
      </c>
      <c r="H58" s="5">
        <v>1972.0</v>
      </c>
      <c r="I58" s="5" t="s">
        <v>70</v>
      </c>
      <c r="J58" s="5" t="s">
        <v>1989</v>
      </c>
    </row>
    <row r="59" ht="15.75" customHeight="1">
      <c r="A59" s="4" t="s">
        <v>1990</v>
      </c>
      <c r="B59" s="5" t="s">
        <v>1991</v>
      </c>
      <c r="C59" s="5" t="s">
        <v>1992</v>
      </c>
      <c r="D59" s="5" t="s">
        <v>1993</v>
      </c>
      <c r="E59" s="6"/>
      <c r="F59" s="5" t="s">
        <v>1994</v>
      </c>
      <c r="G59" s="5" t="s">
        <v>17</v>
      </c>
      <c r="H59" s="5">
        <v>1982.0</v>
      </c>
      <c r="I59" s="5" t="s">
        <v>18</v>
      </c>
      <c r="J59" s="5" t="s">
        <v>534</v>
      </c>
    </row>
    <row r="60" ht="15.75" customHeight="1">
      <c r="A60" s="4" t="s">
        <v>1995</v>
      </c>
      <c r="B60" s="5" t="s">
        <v>1812</v>
      </c>
      <c r="C60" s="5" t="s">
        <v>1996</v>
      </c>
      <c r="D60" s="5" t="s">
        <v>1997</v>
      </c>
      <c r="E60" s="6"/>
      <c r="F60" s="5" t="s">
        <v>1998</v>
      </c>
      <c r="G60" s="5" t="s">
        <v>40</v>
      </c>
      <c r="H60" s="5">
        <v>1983.0</v>
      </c>
      <c r="I60" s="5" t="s">
        <v>18</v>
      </c>
      <c r="J60" s="5" t="s">
        <v>107</v>
      </c>
    </row>
    <row r="61" ht="15.75" customHeight="1">
      <c r="A61" s="4" t="s">
        <v>1999</v>
      </c>
      <c r="B61" s="5" t="s">
        <v>2000</v>
      </c>
      <c r="C61" s="5" t="s">
        <v>2001</v>
      </c>
      <c r="D61" s="5" t="s">
        <v>2002</v>
      </c>
      <c r="E61" s="6"/>
      <c r="F61" s="5" t="s">
        <v>2003</v>
      </c>
      <c r="G61" s="5" t="s">
        <v>17</v>
      </c>
      <c r="H61" s="5">
        <v>1972.0</v>
      </c>
      <c r="I61" s="5" t="s">
        <v>18</v>
      </c>
      <c r="J61" s="5" t="s">
        <v>1088</v>
      </c>
    </row>
    <row r="62" ht="15.75" customHeight="1">
      <c r="A62" s="4" t="s">
        <v>2004</v>
      </c>
      <c r="B62" s="5" t="s">
        <v>2005</v>
      </c>
      <c r="C62" s="5" t="s">
        <v>2006</v>
      </c>
      <c r="D62" s="5" t="s">
        <v>2007</v>
      </c>
      <c r="E62" s="6"/>
      <c r="F62" s="5" t="s">
        <v>2008</v>
      </c>
      <c r="G62" s="5" t="s">
        <v>17</v>
      </c>
      <c r="H62" s="5">
        <v>1981.0</v>
      </c>
      <c r="I62" s="5" t="s">
        <v>18</v>
      </c>
      <c r="J62" s="5" t="s">
        <v>107</v>
      </c>
    </row>
    <row r="63" ht="15.75" customHeight="1">
      <c r="A63" s="4" t="s">
        <v>2009</v>
      </c>
      <c r="B63" s="5" t="s">
        <v>2010</v>
      </c>
      <c r="C63" s="5" t="s">
        <v>2011</v>
      </c>
      <c r="D63" s="5" t="s">
        <v>2012</v>
      </c>
      <c r="E63" s="6"/>
      <c r="F63" s="5" t="s">
        <v>2013</v>
      </c>
      <c r="G63" s="5" t="s">
        <v>17</v>
      </c>
      <c r="H63" s="5">
        <v>1983.0</v>
      </c>
      <c r="I63" s="5" t="s">
        <v>18</v>
      </c>
      <c r="J63" s="5" t="s">
        <v>2014</v>
      </c>
    </row>
    <row r="64" ht="15.75" customHeight="1">
      <c r="A64" s="4" t="s">
        <v>2015</v>
      </c>
      <c r="B64" s="5" t="s">
        <v>2016</v>
      </c>
      <c r="C64" s="5" t="s">
        <v>2017</v>
      </c>
      <c r="D64" s="5" t="s">
        <v>2018</v>
      </c>
      <c r="E64" s="6"/>
      <c r="F64" s="5" t="s">
        <v>2019</v>
      </c>
      <c r="G64" s="5" t="s">
        <v>17</v>
      </c>
      <c r="H64" s="5">
        <v>1971.0</v>
      </c>
      <c r="I64" s="5" t="s">
        <v>18</v>
      </c>
      <c r="J64" s="5" t="s">
        <v>107</v>
      </c>
    </row>
    <row r="65" ht="15.75" customHeight="1">
      <c r="A65" s="4" t="s">
        <v>2020</v>
      </c>
      <c r="B65" s="5" t="s">
        <v>2021</v>
      </c>
      <c r="C65" s="5" t="s">
        <v>2022</v>
      </c>
      <c r="D65" s="5" t="s">
        <v>2023</v>
      </c>
      <c r="E65" s="6"/>
      <c r="F65" s="5" t="s">
        <v>2024</v>
      </c>
      <c r="G65" s="5" t="s">
        <v>40</v>
      </c>
      <c r="H65" s="5">
        <v>1968.0</v>
      </c>
      <c r="I65" s="5" t="s">
        <v>18</v>
      </c>
      <c r="J65" s="5" t="s">
        <v>2025</v>
      </c>
    </row>
    <row r="66" ht="15.75" customHeight="1">
      <c r="A66" s="4" t="s">
        <v>2026</v>
      </c>
      <c r="B66" s="5" t="s">
        <v>2027</v>
      </c>
      <c r="C66" s="5" t="s">
        <v>1491</v>
      </c>
      <c r="D66" s="5" t="s">
        <v>1492</v>
      </c>
      <c r="E66" s="6"/>
      <c r="F66" s="5" t="s">
        <v>1493</v>
      </c>
      <c r="G66" s="5" t="s">
        <v>40</v>
      </c>
      <c r="H66" s="5">
        <v>1974.0</v>
      </c>
      <c r="I66" s="5" t="s">
        <v>18</v>
      </c>
      <c r="J66" s="5" t="s">
        <v>2028</v>
      </c>
    </row>
    <row r="67" ht="15.75" customHeight="1">
      <c r="A67" s="4" t="s">
        <v>2029</v>
      </c>
      <c r="B67" s="5" t="s">
        <v>2030</v>
      </c>
      <c r="C67" s="5" t="s">
        <v>2031</v>
      </c>
      <c r="D67" s="5" t="s">
        <v>2032</v>
      </c>
      <c r="E67" s="6"/>
      <c r="F67" s="5" t="s">
        <v>2033</v>
      </c>
      <c r="G67" s="5" t="s">
        <v>17</v>
      </c>
      <c r="H67" s="5">
        <v>1961.0</v>
      </c>
      <c r="I67" s="5" t="s">
        <v>70</v>
      </c>
      <c r="J67" s="5" t="s">
        <v>1088</v>
      </c>
    </row>
    <row r="68" ht="15.75" customHeight="1">
      <c r="A68" s="4" t="s">
        <v>2034</v>
      </c>
      <c r="B68" s="5" t="s">
        <v>2035</v>
      </c>
      <c r="C68" s="5" t="s">
        <v>1740</v>
      </c>
      <c r="D68" s="5" t="s">
        <v>1741</v>
      </c>
      <c r="E68" s="6"/>
      <c r="F68" s="5" t="s">
        <v>1742</v>
      </c>
      <c r="G68" s="5" t="s">
        <v>17</v>
      </c>
      <c r="H68" s="5">
        <v>1964.0</v>
      </c>
      <c r="I68" s="5" t="s">
        <v>18</v>
      </c>
      <c r="J68" s="5" t="s">
        <v>1048</v>
      </c>
    </row>
    <row r="69" ht="15.75" customHeight="1">
      <c r="A69" s="4" t="s">
        <v>2036</v>
      </c>
      <c r="B69" s="5" t="s">
        <v>2037</v>
      </c>
      <c r="C69" s="5" t="s">
        <v>2038</v>
      </c>
      <c r="D69" s="5" t="s">
        <v>2039</v>
      </c>
      <c r="E69" s="6"/>
      <c r="F69" s="5" t="s">
        <v>2040</v>
      </c>
      <c r="G69" s="5" t="s">
        <v>40</v>
      </c>
      <c r="H69" s="5">
        <v>1983.0</v>
      </c>
      <c r="I69" s="5" t="s">
        <v>18</v>
      </c>
      <c r="J69" s="5" t="s">
        <v>1140</v>
      </c>
    </row>
    <row r="70" ht="15.75" customHeight="1">
      <c r="A70" s="4" t="s">
        <v>2041</v>
      </c>
      <c r="B70" s="5" t="s">
        <v>2042</v>
      </c>
      <c r="C70" s="5" t="s">
        <v>2043</v>
      </c>
      <c r="D70" s="5" t="s">
        <v>2044</v>
      </c>
      <c r="E70" s="6"/>
      <c r="F70" s="5" t="s">
        <v>2045</v>
      </c>
      <c r="G70" s="5" t="s">
        <v>17</v>
      </c>
      <c r="H70" s="5">
        <v>1967.0</v>
      </c>
      <c r="I70" s="5" t="s">
        <v>18</v>
      </c>
      <c r="J70" s="5" t="s">
        <v>1708</v>
      </c>
    </row>
    <row r="71" ht="15.75" customHeight="1">
      <c r="A71" s="4" t="s">
        <v>2046</v>
      </c>
      <c r="B71" s="5" t="s">
        <v>1812</v>
      </c>
      <c r="C71" s="5" t="s">
        <v>2047</v>
      </c>
      <c r="D71" s="5" t="s">
        <v>2048</v>
      </c>
      <c r="E71" s="6"/>
      <c r="F71" s="5" t="s">
        <v>2049</v>
      </c>
      <c r="G71" s="5" t="s">
        <v>17</v>
      </c>
      <c r="H71" s="5">
        <v>1969.0</v>
      </c>
      <c r="I71" s="5" t="s">
        <v>18</v>
      </c>
      <c r="J71" s="5" t="s">
        <v>1425</v>
      </c>
    </row>
    <row r="72" ht="15.75" customHeight="1">
      <c r="A72" s="4" t="s">
        <v>2050</v>
      </c>
      <c r="B72" s="5" t="s">
        <v>2000</v>
      </c>
      <c r="C72" s="5" t="s">
        <v>2051</v>
      </c>
      <c r="D72" s="5" t="s">
        <v>2052</v>
      </c>
      <c r="E72" s="6"/>
      <c r="F72" s="5" t="s">
        <v>2053</v>
      </c>
      <c r="G72" s="5" t="s">
        <v>17</v>
      </c>
      <c r="H72" s="5">
        <v>1971.0</v>
      </c>
      <c r="I72" s="5" t="s">
        <v>18</v>
      </c>
      <c r="J72" s="5" t="s">
        <v>226</v>
      </c>
    </row>
    <row r="73" ht="15.75" customHeight="1">
      <c r="A73" s="4" t="s">
        <v>2054</v>
      </c>
      <c r="B73" s="5" t="s">
        <v>1918</v>
      </c>
      <c r="C73" s="5" t="s">
        <v>2055</v>
      </c>
      <c r="D73" s="5" t="s">
        <v>2056</v>
      </c>
      <c r="E73" s="6"/>
      <c r="F73" s="5" t="s">
        <v>2057</v>
      </c>
      <c r="G73" s="5" t="s">
        <v>40</v>
      </c>
      <c r="H73" s="5">
        <v>1967.0</v>
      </c>
      <c r="I73" s="5" t="s">
        <v>18</v>
      </c>
      <c r="J73" s="5" t="s">
        <v>226</v>
      </c>
    </row>
    <row r="74" ht="15.75" customHeight="1">
      <c r="A74" s="4" t="s">
        <v>2058</v>
      </c>
      <c r="B74" s="5" t="s">
        <v>2059</v>
      </c>
      <c r="C74" s="5" t="s">
        <v>2060</v>
      </c>
      <c r="D74" s="5" t="s">
        <v>2061</v>
      </c>
      <c r="E74" s="6"/>
      <c r="F74" s="5" t="s">
        <v>2062</v>
      </c>
      <c r="G74" s="5" t="s">
        <v>40</v>
      </c>
      <c r="H74" s="5">
        <v>1969.0</v>
      </c>
      <c r="I74" s="5" t="s">
        <v>18</v>
      </c>
      <c r="J74" s="5" t="s">
        <v>856</v>
      </c>
    </row>
    <row r="75" ht="15.75" customHeight="1">
      <c r="A75" s="4" t="s">
        <v>2063</v>
      </c>
      <c r="B75" s="5" t="s">
        <v>771</v>
      </c>
      <c r="C75" s="5" t="s">
        <v>2064</v>
      </c>
      <c r="D75" s="5" t="s">
        <v>2065</v>
      </c>
      <c r="E75" s="6"/>
      <c r="F75" s="5" t="s">
        <v>2066</v>
      </c>
      <c r="G75" s="5" t="s">
        <v>40</v>
      </c>
      <c r="H75" s="5">
        <v>1988.0</v>
      </c>
      <c r="I75" s="5" t="s">
        <v>18</v>
      </c>
      <c r="J75" s="5" t="s">
        <v>985</v>
      </c>
    </row>
    <row r="76" ht="15.75" customHeight="1">
      <c r="A76" s="4" t="s">
        <v>2067</v>
      </c>
      <c r="B76" s="5" t="s">
        <v>2068</v>
      </c>
      <c r="C76" s="5" t="s">
        <v>2069</v>
      </c>
      <c r="D76" s="5" t="s">
        <v>2070</v>
      </c>
      <c r="E76" s="6"/>
      <c r="F76" s="5" t="s">
        <v>2071</v>
      </c>
      <c r="G76" s="5" t="s">
        <v>40</v>
      </c>
      <c r="H76" s="5">
        <v>1944.0</v>
      </c>
      <c r="I76" s="5" t="s">
        <v>18</v>
      </c>
      <c r="J76" s="5" t="s">
        <v>1140</v>
      </c>
    </row>
    <row r="77" ht="15.75" customHeight="1">
      <c r="A77" s="4" t="s">
        <v>2072</v>
      </c>
      <c r="B77" s="5" t="s">
        <v>2073</v>
      </c>
      <c r="C77" s="5" t="s">
        <v>1615</v>
      </c>
      <c r="D77" s="5" t="s">
        <v>2074</v>
      </c>
      <c r="E77" s="6"/>
      <c r="F77" s="5" t="s">
        <v>2075</v>
      </c>
      <c r="G77" s="5" t="s">
        <v>40</v>
      </c>
      <c r="H77" s="5">
        <v>1975.0</v>
      </c>
      <c r="I77" s="5" t="s">
        <v>18</v>
      </c>
      <c r="J77" s="5" t="s">
        <v>226</v>
      </c>
    </row>
    <row r="78" ht="15.75" customHeight="1">
      <c r="A78" s="4" t="s">
        <v>2076</v>
      </c>
      <c r="B78" s="5" t="s">
        <v>2077</v>
      </c>
      <c r="C78" s="5" t="s">
        <v>2078</v>
      </c>
      <c r="D78" s="5" t="s">
        <v>2079</v>
      </c>
      <c r="E78" s="6"/>
      <c r="F78" s="5" t="s">
        <v>2080</v>
      </c>
      <c r="G78" s="5" t="s">
        <v>17</v>
      </c>
      <c r="H78" s="5">
        <v>1960.0</v>
      </c>
      <c r="I78" s="5" t="s">
        <v>70</v>
      </c>
      <c r="J78" s="5" t="s">
        <v>107</v>
      </c>
    </row>
    <row r="79" ht="15.75" customHeight="1">
      <c r="A79" s="4" t="s">
        <v>2081</v>
      </c>
      <c r="B79" s="5" t="s">
        <v>1918</v>
      </c>
      <c r="C79" s="5" t="s">
        <v>2082</v>
      </c>
      <c r="D79" s="5" t="s">
        <v>2083</v>
      </c>
      <c r="E79" s="6"/>
      <c r="F79" s="5" t="s">
        <v>2084</v>
      </c>
      <c r="G79" s="5" t="s">
        <v>40</v>
      </c>
      <c r="H79" s="5">
        <v>1974.0</v>
      </c>
      <c r="I79" s="5" t="s">
        <v>18</v>
      </c>
      <c r="J79" s="5" t="s">
        <v>1088</v>
      </c>
    </row>
    <row r="80" ht="15.75" customHeight="1">
      <c r="A80" s="4" t="s">
        <v>2085</v>
      </c>
      <c r="B80" s="5" t="s">
        <v>2086</v>
      </c>
      <c r="C80" s="5" t="s">
        <v>2087</v>
      </c>
      <c r="D80" s="5" t="s">
        <v>2088</v>
      </c>
      <c r="E80" s="5" t="s">
        <v>162</v>
      </c>
      <c r="F80" s="5" t="s">
        <v>162</v>
      </c>
      <c r="G80" s="5" t="s">
        <v>17</v>
      </c>
      <c r="H80" s="5">
        <v>1967.0</v>
      </c>
      <c r="I80" s="5" t="s">
        <v>70</v>
      </c>
      <c r="J80" s="5" t="s">
        <v>107</v>
      </c>
    </row>
    <row r="81" ht="15.75" customHeight="1">
      <c r="A81" s="4" t="s">
        <v>2089</v>
      </c>
      <c r="B81" s="5" t="s">
        <v>771</v>
      </c>
      <c r="C81" s="5" t="s">
        <v>2090</v>
      </c>
      <c r="D81" s="5" t="s">
        <v>2091</v>
      </c>
      <c r="E81" s="6"/>
      <c r="F81" s="5" t="s">
        <v>2092</v>
      </c>
      <c r="G81" s="5" t="s">
        <v>17</v>
      </c>
      <c r="H81" s="5">
        <v>1958.0</v>
      </c>
      <c r="I81" s="5" t="s">
        <v>18</v>
      </c>
      <c r="J81" s="5" t="s">
        <v>985</v>
      </c>
    </row>
    <row r="82" ht="15.75" customHeight="1">
      <c r="A82" s="4" t="s">
        <v>2093</v>
      </c>
      <c r="B82" s="5" t="s">
        <v>2094</v>
      </c>
      <c r="C82" s="5" t="s">
        <v>2095</v>
      </c>
      <c r="D82" s="5" t="s">
        <v>2096</v>
      </c>
      <c r="E82" s="5" t="s">
        <v>162</v>
      </c>
      <c r="F82" s="5" t="s">
        <v>2097</v>
      </c>
      <c r="G82" s="5" t="s">
        <v>17</v>
      </c>
      <c r="H82" s="5">
        <v>1974.0</v>
      </c>
      <c r="I82" s="5" t="s">
        <v>70</v>
      </c>
      <c r="J82" s="5" t="s">
        <v>107</v>
      </c>
    </row>
    <row r="83" ht="15.75" customHeight="1">
      <c r="A83" s="4" t="s">
        <v>2098</v>
      </c>
      <c r="B83" s="5" t="s">
        <v>2099</v>
      </c>
      <c r="C83" s="5" t="s">
        <v>2100</v>
      </c>
      <c r="D83" s="5" t="s">
        <v>2101</v>
      </c>
      <c r="E83" s="6"/>
      <c r="F83" s="5" t="s">
        <v>2102</v>
      </c>
      <c r="G83" s="5" t="s">
        <v>17</v>
      </c>
      <c r="H83" s="5">
        <v>1977.0</v>
      </c>
      <c r="I83" s="5" t="s">
        <v>18</v>
      </c>
      <c r="J83" s="5" t="s">
        <v>107</v>
      </c>
    </row>
    <row r="84" ht="15.75" customHeight="1">
      <c r="A84" s="4" t="s">
        <v>2103</v>
      </c>
      <c r="B84" s="5" t="s">
        <v>2104</v>
      </c>
      <c r="C84" s="5" t="s">
        <v>2105</v>
      </c>
      <c r="D84" s="5" t="s">
        <v>2106</v>
      </c>
      <c r="E84" s="6"/>
      <c r="F84" s="5" t="s">
        <v>2107</v>
      </c>
      <c r="G84" s="5" t="s">
        <v>40</v>
      </c>
      <c r="H84" s="5">
        <v>1976.0</v>
      </c>
      <c r="I84" s="5" t="s">
        <v>18</v>
      </c>
      <c r="J84" s="5" t="s">
        <v>226</v>
      </c>
    </row>
    <row r="85" ht="15.75" customHeight="1">
      <c r="A85" s="4" t="s">
        <v>2108</v>
      </c>
      <c r="B85" s="5" t="s">
        <v>1822</v>
      </c>
      <c r="C85" s="5" t="s">
        <v>2109</v>
      </c>
      <c r="D85" s="5" t="s">
        <v>2110</v>
      </c>
      <c r="E85" s="6"/>
      <c r="F85" s="5" t="s">
        <v>2111</v>
      </c>
      <c r="G85" s="5" t="s">
        <v>17</v>
      </c>
      <c r="H85" s="5">
        <v>1974.0</v>
      </c>
      <c r="I85" s="5" t="s">
        <v>18</v>
      </c>
      <c r="J85" s="5" t="s">
        <v>985</v>
      </c>
    </row>
    <row r="86" ht="15.75" customHeight="1">
      <c r="A86" s="4" t="s">
        <v>2112</v>
      </c>
      <c r="B86" s="5" t="s">
        <v>2113</v>
      </c>
      <c r="C86" s="5" t="s">
        <v>2114</v>
      </c>
      <c r="D86" s="5" t="s">
        <v>2115</v>
      </c>
      <c r="E86" s="6"/>
      <c r="F86" s="5" t="s">
        <v>2116</v>
      </c>
      <c r="G86" s="5" t="s">
        <v>40</v>
      </c>
      <c r="H86" s="5">
        <v>1975.0</v>
      </c>
      <c r="I86" s="5" t="s">
        <v>18</v>
      </c>
      <c r="J86" s="5" t="s">
        <v>534</v>
      </c>
    </row>
    <row r="87" ht="15.75" customHeight="1">
      <c r="A87" s="4" t="s">
        <v>2117</v>
      </c>
      <c r="B87" s="5" t="s">
        <v>2118</v>
      </c>
      <c r="C87" s="5" t="s">
        <v>2119</v>
      </c>
      <c r="D87" s="5" t="s">
        <v>2120</v>
      </c>
      <c r="E87" s="6"/>
      <c r="F87" s="5" t="s">
        <v>2121</v>
      </c>
      <c r="G87" s="5" t="s">
        <v>40</v>
      </c>
      <c r="H87" s="5">
        <v>1976.0</v>
      </c>
      <c r="I87" s="5" t="s">
        <v>18</v>
      </c>
      <c r="J87" s="5" t="s">
        <v>1761</v>
      </c>
    </row>
    <row r="88" ht="15.75" customHeight="1">
      <c r="A88" s="4" t="s">
        <v>2122</v>
      </c>
      <c r="B88" s="5" t="s">
        <v>2123</v>
      </c>
      <c r="C88" s="5" t="s">
        <v>131</v>
      </c>
      <c r="D88" s="5" t="s">
        <v>132</v>
      </c>
      <c r="E88" s="5" t="s">
        <v>2124</v>
      </c>
      <c r="F88" s="5" t="s">
        <v>2125</v>
      </c>
      <c r="G88" s="5" t="s">
        <v>17</v>
      </c>
      <c r="H88" s="5">
        <v>1970.0</v>
      </c>
      <c r="I88" s="5" t="s">
        <v>70</v>
      </c>
      <c r="J88" s="5" t="s">
        <v>534</v>
      </c>
    </row>
    <row r="89" ht="15.75" customHeight="1">
      <c r="A89" s="4" t="s">
        <v>2126</v>
      </c>
      <c r="B89" s="5" t="s">
        <v>2127</v>
      </c>
      <c r="C89" s="5" t="s">
        <v>2022</v>
      </c>
      <c r="D89" s="5" t="s">
        <v>2023</v>
      </c>
      <c r="E89" s="6"/>
      <c r="F89" s="5" t="s">
        <v>2024</v>
      </c>
      <c r="G89" s="5" t="s">
        <v>40</v>
      </c>
      <c r="H89" s="5">
        <v>1968.0</v>
      </c>
      <c r="I89" s="5" t="s">
        <v>18</v>
      </c>
      <c r="J89" s="5" t="s">
        <v>2025</v>
      </c>
    </row>
    <row r="90" ht="15.75" customHeight="1">
      <c r="A90" s="4" t="s">
        <v>2128</v>
      </c>
      <c r="B90" s="5" t="s">
        <v>2129</v>
      </c>
      <c r="C90" s="5" t="s">
        <v>2130</v>
      </c>
      <c r="D90" s="5" t="s">
        <v>2131</v>
      </c>
      <c r="E90" s="6"/>
      <c r="F90" s="5" t="s">
        <v>2132</v>
      </c>
      <c r="G90" s="5" t="s">
        <v>40</v>
      </c>
      <c r="H90" s="5">
        <v>1971.0</v>
      </c>
      <c r="I90" s="5" t="s">
        <v>18</v>
      </c>
      <c r="J90" s="5" t="s">
        <v>985</v>
      </c>
    </row>
    <row r="91" ht="15.75" customHeight="1">
      <c r="A91" s="4" t="s">
        <v>2133</v>
      </c>
      <c r="B91" s="5" t="s">
        <v>2134</v>
      </c>
      <c r="C91" s="5" t="s">
        <v>2105</v>
      </c>
      <c r="D91" s="5" t="s">
        <v>2106</v>
      </c>
      <c r="E91" s="6"/>
      <c r="F91" s="5" t="s">
        <v>2107</v>
      </c>
      <c r="G91" s="5" t="s">
        <v>40</v>
      </c>
      <c r="H91" s="5">
        <v>1976.0</v>
      </c>
      <c r="I91" s="5" t="s">
        <v>18</v>
      </c>
      <c r="J91" s="5" t="s">
        <v>226</v>
      </c>
    </row>
    <row r="92" ht="15.75" customHeight="1">
      <c r="A92" s="4" t="s">
        <v>2135</v>
      </c>
      <c r="B92" s="5" t="s">
        <v>2136</v>
      </c>
      <c r="C92" s="5" t="s">
        <v>2137</v>
      </c>
      <c r="D92" s="5" t="s">
        <v>2138</v>
      </c>
      <c r="E92" s="6"/>
      <c r="F92" s="5" t="s">
        <v>2139</v>
      </c>
      <c r="G92" s="5" t="s">
        <v>40</v>
      </c>
      <c r="H92" s="5">
        <v>1984.0</v>
      </c>
      <c r="I92" s="5" t="s">
        <v>18</v>
      </c>
      <c r="J92" s="5" t="s">
        <v>985</v>
      </c>
    </row>
    <row r="93" ht="15.75" customHeight="1">
      <c r="A93" s="4" t="s">
        <v>2140</v>
      </c>
      <c r="B93" s="5" t="s">
        <v>2141</v>
      </c>
      <c r="C93" s="5" t="s">
        <v>2142</v>
      </c>
      <c r="D93" s="5" t="s">
        <v>2143</v>
      </c>
      <c r="E93" s="6"/>
      <c r="F93" s="5" t="s">
        <v>2144</v>
      </c>
      <c r="G93" s="5" t="s">
        <v>40</v>
      </c>
      <c r="H93" s="5">
        <v>1985.0</v>
      </c>
      <c r="I93" s="5" t="s">
        <v>18</v>
      </c>
      <c r="J93" s="5" t="s">
        <v>1399</v>
      </c>
    </row>
    <row r="94" ht="15.75" customHeight="1">
      <c r="A94" s="4" t="s">
        <v>2145</v>
      </c>
      <c r="B94" s="5" t="s">
        <v>2146</v>
      </c>
      <c r="C94" s="5" t="s">
        <v>2147</v>
      </c>
      <c r="D94" s="5" t="s">
        <v>2148</v>
      </c>
      <c r="E94" s="6"/>
      <c r="F94" s="5" t="s">
        <v>2149</v>
      </c>
      <c r="G94" s="5" t="s">
        <v>40</v>
      </c>
      <c r="H94" s="5">
        <v>1987.0</v>
      </c>
      <c r="I94" s="5" t="s">
        <v>18</v>
      </c>
      <c r="J94" s="5" t="s">
        <v>1088</v>
      </c>
    </row>
    <row r="95" ht="15.75" customHeight="1">
      <c r="A95" s="4" t="s">
        <v>2150</v>
      </c>
      <c r="B95" s="5" t="s">
        <v>2151</v>
      </c>
      <c r="C95" s="5" t="s">
        <v>2152</v>
      </c>
      <c r="D95" s="5" t="s">
        <v>2153</v>
      </c>
      <c r="E95" s="6"/>
      <c r="F95" s="5" t="s">
        <v>2154</v>
      </c>
      <c r="G95" s="5" t="s">
        <v>17</v>
      </c>
      <c r="H95" s="5">
        <v>1975.0</v>
      </c>
      <c r="I95" s="5" t="s">
        <v>18</v>
      </c>
      <c r="J95" s="5" t="s">
        <v>107</v>
      </c>
    </row>
    <row r="96" ht="15.75" customHeight="1">
      <c r="A96" s="4" t="s">
        <v>2155</v>
      </c>
      <c r="B96" s="5" t="s">
        <v>2156</v>
      </c>
      <c r="C96" s="5" t="s">
        <v>2157</v>
      </c>
      <c r="D96" s="5" t="s">
        <v>2158</v>
      </c>
      <c r="E96" s="6"/>
      <c r="F96" s="5" t="s">
        <v>2159</v>
      </c>
      <c r="G96" s="5" t="s">
        <v>17</v>
      </c>
      <c r="H96" s="5">
        <v>1980.0</v>
      </c>
      <c r="I96" s="5" t="s">
        <v>18</v>
      </c>
      <c r="J96" s="5" t="s">
        <v>1755</v>
      </c>
    </row>
    <row r="97" ht="15.75" customHeight="1">
      <c r="A97" s="4" t="s">
        <v>2160</v>
      </c>
      <c r="B97" s="5" t="s">
        <v>2161</v>
      </c>
      <c r="C97" s="5" t="s">
        <v>2162</v>
      </c>
      <c r="D97" s="5" t="s">
        <v>2163</v>
      </c>
      <c r="E97" s="6"/>
      <c r="F97" s="5" t="s">
        <v>2164</v>
      </c>
      <c r="G97" s="5" t="s">
        <v>40</v>
      </c>
      <c r="H97" s="5">
        <v>1975.0</v>
      </c>
      <c r="I97" s="5" t="s">
        <v>18</v>
      </c>
      <c r="J97" s="5" t="s">
        <v>1088</v>
      </c>
    </row>
    <row r="98" ht="15.75" customHeight="1">
      <c r="A98" s="4" t="s">
        <v>2165</v>
      </c>
      <c r="B98" s="5" t="s">
        <v>2166</v>
      </c>
      <c r="C98" s="5" t="s">
        <v>2167</v>
      </c>
      <c r="D98" s="5" t="s">
        <v>2168</v>
      </c>
      <c r="E98" s="5" t="s">
        <v>2169</v>
      </c>
      <c r="F98" s="5" t="s">
        <v>2170</v>
      </c>
      <c r="G98" s="5" t="s">
        <v>40</v>
      </c>
      <c r="H98" s="5">
        <v>1962.0</v>
      </c>
      <c r="I98" s="5" t="s">
        <v>18</v>
      </c>
      <c r="J98" s="5" t="s">
        <v>985</v>
      </c>
    </row>
    <row r="99" ht="15.75" customHeight="1">
      <c r="A99" s="4" t="s">
        <v>2171</v>
      </c>
      <c r="B99" s="5" t="s">
        <v>2172</v>
      </c>
      <c r="C99" s="5" t="s">
        <v>2173</v>
      </c>
      <c r="D99" s="5" t="s">
        <v>2174</v>
      </c>
      <c r="E99" s="6"/>
      <c r="F99" s="5" t="s">
        <v>2175</v>
      </c>
      <c r="G99" s="5" t="s">
        <v>17</v>
      </c>
      <c r="H99" s="5">
        <v>1966.0</v>
      </c>
      <c r="I99" s="5" t="s">
        <v>18</v>
      </c>
      <c r="J99" s="5" t="s">
        <v>2176</v>
      </c>
    </row>
    <row r="100" ht="15.75" customHeight="1">
      <c r="A100" s="4" t="s">
        <v>2177</v>
      </c>
      <c r="B100" s="5" t="s">
        <v>2178</v>
      </c>
      <c r="C100" s="5" t="s">
        <v>1257</v>
      </c>
      <c r="D100" s="5" t="s">
        <v>2179</v>
      </c>
      <c r="E100" s="6"/>
      <c r="F100" s="5" t="s">
        <v>2180</v>
      </c>
      <c r="G100" s="5" t="s">
        <v>17</v>
      </c>
      <c r="H100" s="5">
        <v>1968.0</v>
      </c>
      <c r="I100" s="5" t="s">
        <v>18</v>
      </c>
      <c r="J100" s="5" t="s">
        <v>971</v>
      </c>
    </row>
    <row r="101" ht="15.75" customHeight="1">
      <c r="A101" s="4" t="s">
        <v>2181</v>
      </c>
      <c r="B101" s="5" t="s">
        <v>2182</v>
      </c>
      <c r="C101" s="5" t="s">
        <v>2183</v>
      </c>
      <c r="D101" s="5" t="s">
        <v>2184</v>
      </c>
      <c r="E101" s="6"/>
      <c r="F101" s="5" t="s">
        <v>2185</v>
      </c>
      <c r="G101" s="5" t="s">
        <v>40</v>
      </c>
      <c r="H101" s="5">
        <v>1965.0</v>
      </c>
      <c r="I101" s="5" t="s">
        <v>18</v>
      </c>
      <c r="J101" s="5" t="s">
        <v>2186</v>
      </c>
    </row>
    <row r="102" ht="15.75" customHeight="1">
      <c r="A102" s="4" t="s">
        <v>2187</v>
      </c>
      <c r="B102" s="5" t="s">
        <v>2188</v>
      </c>
      <c r="C102" s="5" t="s">
        <v>2189</v>
      </c>
      <c r="D102" s="5" t="s">
        <v>2190</v>
      </c>
      <c r="E102" s="6"/>
      <c r="F102" s="5" t="s">
        <v>2191</v>
      </c>
      <c r="G102" s="5" t="s">
        <v>40</v>
      </c>
      <c r="H102" s="5">
        <v>1981.0</v>
      </c>
      <c r="I102" s="5" t="s">
        <v>18</v>
      </c>
      <c r="J102" s="5" t="s">
        <v>985</v>
      </c>
    </row>
    <row r="103" ht="15.75" customHeight="1">
      <c r="A103" s="4" t="s">
        <v>2192</v>
      </c>
      <c r="B103" s="5" t="s">
        <v>2193</v>
      </c>
      <c r="C103" s="5" t="s">
        <v>2194</v>
      </c>
      <c r="D103" s="5" t="s">
        <v>2195</v>
      </c>
      <c r="E103" s="6"/>
      <c r="F103" s="5" t="s">
        <v>2196</v>
      </c>
      <c r="G103" s="5" t="s">
        <v>17</v>
      </c>
      <c r="H103" s="5">
        <v>1961.0</v>
      </c>
      <c r="I103" s="5" t="s">
        <v>18</v>
      </c>
      <c r="J103" s="5" t="s">
        <v>2197</v>
      </c>
    </row>
    <row r="104" ht="15.75" customHeight="1">
      <c r="A104" s="4" t="s">
        <v>2198</v>
      </c>
      <c r="B104" s="5" t="s">
        <v>2199</v>
      </c>
      <c r="C104" s="5" t="s">
        <v>2200</v>
      </c>
      <c r="D104" s="5" t="s">
        <v>2201</v>
      </c>
      <c r="E104" s="6"/>
      <c r="F104" s="5" t="s">
        <v>2202</v>
      </c>
      <c r="G104" s="5" t="s">
        <v>17</v>
      </c>
      <c r="H104" s="5">
        <v>1981.0</v>
      </c>
      <c r="I104" s="5" t="s">
        <v>18</v>
      </c>
      <c r="J104" s="5" t="s">
        <v>107</v>
      </c>
    </row>
    <row r="105" ht="15.75" customHeight="1">
      <c r="A105" s="4" t="s">
        <v>2203</v>
      </c>
      <c r="B105" s="5" t="s">
        <v>2204</v>
      </c>
      <c r="C105" s="5" t="s">
        <v>2205</v>
      </c>
      <c r="D105" s="5" t="s">
        <v>361</v>
      </c>
      <c r="E105" s="6"/>
      <c r="F105" s="5" t="s">
        <v>2206</v>
      </c>
      <c r="G105" s="5" t="s">
        <v>17</v>
      </c>
      <c r="H105" s="5">
        <v>1959.0</v>
      </c>
      <c r="I105" s="5" t="s">
        <v>18</v>
      </c>
      <c r="J105" s="5" t="s">
        <v>1088</v>
      </c>
    </row>
    <row r="106" ht="15.75" customHeight="1">
      <c r="A106" s="4" t="s">
        <v>2207</v>
      </c>
      <c r="B106" s="5" t="s">
        <v>2208</v>
      </c>
      <c r="C106" s="5" t="s">
        <v>2209</v>
      </c>
      <c r="D106" s="5" t="s">
        <v>2210</v>
      </c>
      <c r="E106" s="6"/>
      <c r="F106" s="5" t="s">
        <v>2211</v>
      </c>
      <c r="G106" s="5" t="s">
        <v>17</v>
      </c>
      <c r="H106" s="5">
        <v>1987.0</v>
      </c>
      <c r="I106" s="5" t="s">
        <v>18</v>
      </c>
      <c r="J106" s="5" t="s">
        <v>1140</v>
      </c>
    </row>
    <row r="107" ht="15.75" customHeight="1">
      <c r="A107" s="4" t="s">
        <v>2212</v>
      </c>
      <c r="B107" s="5" t="s">
        <v>2213</v>
      </c>
      <c r="C107" s="5" t="s">
        <v>2214</v>
      </c>
      <c r="D107" s="5" t="s">
        <v>2215</v>
      </c>
      <c r="E107" s="6"/>
      <c r="F107" s="5" t="s">
        <v>2216</v>
      </c>
      <c r="G107" s="5" t="s">
        <v>17</v>
      </c>
      <c r="H107" s="5">
        <v>1963.0</v>
      </c>
      <c r="I107" s="5" t="s">
        <v>18</v>
      </c>
      <c r="J107" s="5" t="s">
        <v>534</v>
      </c>
    </row>
    <row r="108" ht="15.75" customHeight="1">
      <c r="A108" s="4" t="s">
        <v>2217</v>
      </c>
      <c r="B108" s="5" t="s">
        <v>2218</v>
      </c>
      <c r="C108" s="5" t="s">
        <v>2219</v>
      </c>
      <c r="D108" s="5" t="s">
        <v>2220</v>
      </c>
      <c r="E108" s="5">
        <f>886911681376</f>
        <v>886911681376</v>
      </c>
      <c r="F108" s="5" t="s">
        <v>2221</v>
      </c>
      <c r="G108" s="5" t="s">
        <v>17</v>
      </c>
      <c r="H108" s="5">
        <v>0.0</v>
      </c>
      <c r="I108" s="5" t="s">
        <v>188</v>
      </c>
      <c r="J108" s="5" t="s">
        <v>2222</v>
      </c>
    </row>
    <row r="109" ht="15.75" customHeight="1">
      <c r="A109" s="4" t="s">
        <v>2223</v>
      </c>
      <c r="B109" s="5" t="s">
        <v>2224</v>
      </c>
      <c r="C109" s="5" t="s">
        <v>2225</v>
      </c>
      <c r="D109" s="5" t="s">
        <v>2226</v>
      </c>
      <c r="E109" s="6"/>
      <c r="F109" s="5" t="s">
        <v>2227</v>
      </c>
      <c r="G109" s="5" t="s">
        <v>17</v>
      </c>
      <c r="H109" s="5">
        <v>1969.0</v>
      </c>
      <c r="I109" s="5" t="s">
        <v>18</v>
      </c>
      <c r="J109" s="5" t="s">
        <v>534</v>
      </c>
    </row>
    <row r="110" ht="15.75" customHeight="1">
      <c r="A110" s="4" t="s">
        <v>2228</v>
      </c>
      <c r="B110" s="5" t="s">
        <v>2141</v>
      </c>
      <c r="C110" s="5" t="s">
        <v>2229</v>
      </c>
      <c r="D110" s="6"/>
      <c r="E110" s="5" t="s">
        <v>1109</v>
      </c>
      <c r="F110" s="6"/>
      <c r="G110" s="5" t="s">
        <v>17</v>
      </c>
      <c r="H110" s="5">
        <v>0.0</v>
      </c>
      <c r="I110" s="5" t="s">
        <v>188</v>
      </c>
      <c r="J110" s="5" t="s">
        <v>1984</v>
      </c>
    </row>
    <row r="111" ht="15.75" customHeight="1">
      <c r="A111" s="4" t="s">
        <v>2230</v>
      </c>
      <c r="B111" s="5" t="s">
        <v>2231</v>
      </c>
      <c r="C111" s="5" t="s">
        <v>2232</v>
      </c>
      <c r="D111" s="5" t="s">
        <v>2233</v>
      </c>
      <c r="E111" s="6"/>
      <c r="F111" s="5" t="s">
        <v>2234</v>
      </c>
      <c r="G111" s="5" t="s">
        <v>17</v>
      </c>
      <c r="H111" s="5">
        <v>1962.0</v>
      </c>
      <c r="I111" s="5" t="s">
        <v>18</v>
      </c>
      <c r="J111" s="5" t="s">
        <v>534</v>
      </c>
    </row>
    <row r="112" ht="15.75" customHeight="1">
      <c r="A112" s="4" t="s">
        <v>2235</v>
      </c>
      <c r="B112" s="5" t="s">
        <v>2236</v>
      </c>
      <c r="C112" s="5" t="s">
        <v>2237</v>
      </c>
      <c r="D112" s="5" t="s">
        <v>1264</v>
      </c>
      <c r="E112" s="6"/>
      <c r="F112" s="5" t="s">
        <v>2238</v>
      </c>
      <c r="G112" s="5" t="s">
        <v>17</v>
      </c>
      <c r="H112" s="5">
        <v>1964.0</v>
      </c>
      <c r="I112" s="5" t="s">
        <v>18</v>
      </c>
      <c r="J112" s="5" t="s">
        <v>1761</v>
      </c>
    </row>
    <row r="113" ht="15.75" customHeight="1">
      <c r="A113" s="4" t="s">
        <v>2239</v>
      </c>
      <c r="B113" s="5" t="s">
        <v>2240</v>
      </c>
      <c r="C113" s="5" t="s">
        <v>2241</v>
      </c>
      <c r="D113" s="5" t="s">
        <v>2242</v>
      </c>
      <c r="E113" s="6"/>
      <c r="F113" s="5" t="s">
        <v>2243</v>
      </c>
      <c r="G113" s="5" t="s">
        <v>17</v>
      </c>
      <c r="H113" s="5">
        <v>1963.0</v>
      </c>
      <c r="I113" s="5" t="s">
        <v>18</v>
      </c>
      <c r="J113" s="5" t="s">
        <v>1761</v>
      </c>
    </row>
    <row r="114" ht="15.75" customHeight="1">
      <c r="A114" s="4" t="s">
        <v>2244</v>
      </c>
      <c r="B114" s="5" t="s">
        <v>2245</v>
      </c>
      <c r="C114" s="5" t="s">
        <v>2246</v>
      </c>
      <c r="D114" s="5" t="s">
        <v>2247</v>
      </c>
      <c r="E114" s="6"/>
      <c r="F114" s="5" t="s">
        <v>2248</v>
      </c>
      <c r="G114" s="5" t="s">
        <v>17</v>
      </c>
      <c r="H114" s="5">
        <v>1980.0</v>
      </c>
      <c r="I114" s="5" t="s">
        <v>18</v>
      </c>
      <c r="J114" s="5" t="s">
        <v>1088</v>
      </c>
    </row>
    <row r="115" ht="15.75" customHeight="1">
      <c r="A115" s="4" t="s">
        <v>2249</v>
      </c>
      <c r="B115" s="5" t="s">
        <v>2224</v>
      </c>
      <c r="C115" s="5" t="s">
        <v>2250</v>
      </c>
      <c r="D115" s="5" t="s">
        <v>2251</v>
      </c>
      <c r="E115" s="6"/>
      <c r="F115" s="5" t="s">
        <v>2252</v>
      </c>
      <c r="G115" s="5" t="s">
        <v>40</v>
      </c>
      <c r="H115" s="5">
        <v>1984.0</v>
      </c>
      <c r="I115" s="5" t="s">
        <v>18</v>
      </c>
      <c r="J115" s="5" t="s">
        <v>226</v>
      </c>
    </row>
    <row r="116" ht="15.75" customHeight="1">
      <c r="A116" s="4" t="s">
        <v>2253</v>
      </c>
      <c r="B116" s="5" t="s">
        <v>2199</v>
      </c>
      <c r="C116" s="5" t="s">
        <v>2254</v>
      </c>
      <c r="D116" s="5" t="s">
        <v>2255</v>
      </c>
      <c r="E116" s="6"/>
      <c r="F116" s="5" t="s">
        <v>2256</v>
      </c>
      <c r="G116" s="5" t="s">
        <v>40</v>
      </c>
      <c r="H116" s="5">
        <v>1977.0</v>
      </c>
      <c r="I116" s="5" t="s">
        <v>18</v>
      </c>
      <c r="J116" s="5" t="s">
        <v>107</v>
      </c>
    </row>
    <row r="117" ht="15.75" customHeight="1">
      <c r="A117" s="4" t="s">
        <v>2257</v>
      </c>
      <c r="B117" s="5" t="s">
        <v>2258</v>
      </c>
      <c r="C117" s="5" t="s">
        <v>2259</v>
      </c>
      <c r="D117" s="5" t="s">
        <v>361</v>
      </c>
      <c r="E117" s="6"/>
      <c r="F117" s="5" t="s">
        <v>2260</v>
      </c>
      <c r="G117" s="5" t="s">
        <v>17</v>
      </c>
      <c r="H117" s="5">
        <v>1973.0</v>
      </c>
      <c r="I117" s="5" t="s">
        <v>18</v>
      </c>
      <c r="J117" s="5" t="s">
        <v>1277</v>
      </c>
    </row>
    <row r="118" ht="15.75" customHeight="1">
      <c r="A118" s="4" t="s">
        <v>2261</v>
      </c>
      <c r="B118" s="5" t="s">
        <v>2262</v>
      </c>
      <c r="C118" s="5" t="s">
        <v>1045</v>
      </c>
      <c r="D118" s="5" t="s">
        <v>1046</v>
      </c>
      <c r="E118" s="6"/>
      <c r="F118" s="5" t="s">
        <v>1047</v>
      </c>
      <c r="G118" s="5" t="s">
        <v>17</v>
      </c>
      <c r="H118" s="5">
        <v>1992.0</v>
      </c>
      <c r="I118" s="5" t="s">
        <v>18</v>
      </c>
      <c r="J118" s="5" t="s">
        <v>1399</v>
      </c>
    </row>
    <row r="119" ht="15.75" customHeight="1">
      <c r="A119" s="4" t="s">
        <v>2263</v>
      </c>
      <c r="B119" s="5" t="s">
        <v>2213</v>
      </c>
      <c r="C119" s="5" t="s">
        <v>2264</v>
      </c>
      <c r="D119" s="5" t="s">
        <v>2174</v>
      </c>
      <c r="E119" s="6"/>
      <c r="F119" s="5" t="s">
        <v>2175</v>
      </c>
      <c r="G119" s="5" t="s">
        <v>40</v>
      </c>
      <c r="H119" s="5">
        <v>1945.0</v>
      </c>
      <c r="I119" s="5" t="s">
        <v>18</v>
      </c>
      <c r="J119" s="5" t="s">
        <v>534</v>
      </c>
    </row>
    <row r="120" ht="15.75" customHeight="1">
      <c r="A120" s="4" t="s">
        <v>2265</v>
      </c>
      <c r="B120" s="5" t="s">
        <v>2266</v>
      </c>
      <c r="C120" s="5" t="s">
        <v>2267</v>
      </c>
      <c r="D120" s="5" t="s">
        <v>2268</v>
      </c>
      <c r="E120" s="6"/>
      <c r="F120" s="5" t="s">
        <v>2269</v>
      </c>
      <c r="G120" s="5" t="s">
        <v>17</v>
      </c>
      <c r="H120" s="5">
        <v>1976.0</v>
      </c>
      <c r="I120" s="5" t="s">
        <v>18</v>
      </c>
      <c r="J120" s="5" t="s">
        <v>107</v>
      </c>
    </row>
    <row r="121" ht="15.75" customHeight="1">
      <c r="A121" s="4" t="s">
        <v>2270</v>
      </c>
      <c r="B121" s="5" t="s">
        <v>2271</v>
      </c>
      <c r="C121" s="5" t="s">
        <v>2272</v>
      </c>
      <c r="D121" s="5" t="s">
        <v>2273</v>
      </c>
      <c r="E121" s="5" t="s">
        <v>2274</v>
      </c>
      <c r="F121" s="5" t="s">
        <v>2275</v>
      </c>
      <c r="G121" s="5" t="s">
        <v>17</v>
      </c>
      <c r="H121" s="5">
        <v>1964.0</v>
      </c>
      <c r="I121" s="5" t="s">
        <v>18</v>
      </c>
      <c r="J121" s="5" t="s">
        <v>1702</v>
      </c>
    </row>
    <row r="122" ht="15.75" customHeight="1">
      <c r="A122" s="4" t="s">
        <v>2276</v>
      </c>
      <c r="B122" s="5" t="s">
        <v>2199</v>
      </c>
      <c r="C122" s="5" t="s">
        <v>2142</v>
      </c>
      <c r="D122" s="5" t="s">
        <v>2143</v>
      </c>
      <c r="E122" s="6"/>
      <c r="F122" s="5" t="s">
        <v>2144</v>
      </c>
      <c r="G122" s="5" t="s">
        <v>40</v>
      </c>
      <c r="H122" s="5">
        <v>1985.0</v>
      </c>
      <c r="I122" s="5" t="s">
        <v>18</v>
      </c>
      <c r="J122" s="5" t="s">
        <v>856</v>
      </c>
    </row>
    <row r="123" ht="15.75" customHeight="1">
      <c r="A123" s="4" t="s">
        <v>2277</v>
      </c>
      <c r="B123" s="5" t="s">
        <v>2278</v>
      </c>
      <c r="C123" s="5" t="s">
        <v>2279</v>
      </c>
      <c r="D123" s="5" t="s">
        <v>2280</v>
      </c>
      <c r="E123" s="5" t="s">
        <v>162</v>
      </c>
      <c r="F123" s="5" t="s">
        <v>162</v>
      </c>
      <c r="G123" s="5" t="s">
        <v>40</v>
      </c>
      <c r="H123" s="5">
        <v>1973.0</v>
      </c>
      <c r="I123" s="5" t="s">
        <v>18</v>
      </c>
      <c r="J123" s="5" t="s">
        <v>1048</v>
      </c>
    </row>
    <row r="124" ht="15.75" customHeight="1">
      <c r="A124" s="4" t="s">
        <v>2281</v>
      </c>
      <c r="B124" s="5" t="s">
        <v>2282</v>
      </c>
      <c r="C124" s="5" t="s">
        <v>2283</v>
      </c>
      <c r="D124" s="5" t="s">
        <v>2284</v>
      </c>
      <c r="E124" s="6"/>
      <c r="F124" s="5" t="s">
        <v>2285</v>
      </c>
      <c r="G124" s="5" t="s">
        <v>17</v>
      </c>
      <c r="H124" s="5">
        <v>1951.0</v>
      </c>
      <c r="I124" s="5" t="s">
        <v>18</v>
      </c>
      <c r="J124" s="5" t="s">
        <v>1036</v>
      </c>
    </row>
    <row r="125" ht="15.75" customHeight="1">
      <c r="A125" s="4" t="s">
        <v>2286</v>
      </c>
      <c r="B125" s="5" t="s">
        <v>1610</v>
      </c>
      <c r="C125" s="5" t="s">
        <v>2287</v>
      </c>
      <c r="D125" s="5" t="s">
        <v>2288</v>
      </c>
      <c r="E125" s="6"/>
      <c r="F125" s="5" t="s">
        <v>162</v>
      </c>
      <c r="G125" s="5" t="s">
        <v>17</v>
      </c>
      <c r="H125" s="5">
        <v>1950.0</v>
      </c>
      <c r="I125" s="5" t="s">
        <v>70</v>
      </c>
      <c r="J125" s="5" t="s">
        <v>985</v>
      </c>
    </row>
    <row r="126" ht="15.75" customHeight="1">
      <c r="A126" s="4" t="s">
        <v>2289</v>
      </c>
      <c r="B126" s="5" t="s">
        <v>2290</v>
      </c>
      <c r="C126" s="5" t="s">
        <v>2291</v>
      </c>
      <c r="D126" s="5" t="s">
        <v>2292</v>
      </c>
      <c r="E126" s="6"/>
      <c r="F126" s="5" t="s">
        <v>2293</v>
      </c>
      <c r="G126" s="5" t="s">
        <v>40</v>
      </c>
      <c r="H126" s="5">
        <v>1970.0</v>
      </c>
      <c r="I126" s="5" t="s">
        <v>18</v>
      </c>
      <c r="J126" s="5" t="s">
        <v>107</v>
      </c>
    </row>
    <row r="127" ht="15.75" customHeight="1">
      <c r="A127" s="4" t="s">
        <v>2294</v>
      </c>
      <c r="B127" s="5" t="s">
        <v>2295</v>
      </c>
      <c r="C127" s="5" t="s">
        <v>2296</v>
      </c>
      <c r="D127" s="5" t="s">
        <v>2297</v>
      </c>
      <c r="E127" s="6"/>
      <c r="F127" s="5" t="s">
        <v>2298</v>
      </c>
      <c r="G127" s="5" t="s">
        <v>17</v>
      </c>
      <c r="H127" s="5">
        <v>1957.0</v>
      </c>
      <c r="I127" s="5" t="s">
        <v>18</v>
      </c>
      <c r="J127" s="5" t="s">
        <v>1162</v>
      </c>
    </row>
    <row r="128" ht="15.75" customHeight="1">
      <c r="A128" s="4" t="s">
        <v>2299</v>
      </c>
      <c r="B128" s="5" t="s">
        <v>1729</v>
      </c>
      <c r="C128" s="5" t="s">
        <v>1280</v>
      </c>
      <c r="D128" s="5" t="s">
        <v>2300</v>
      </c>
      <c r="E128" s="5" t="s">
        <v>2301</v>
      </c>
      <c r="F128" s="5" t="s">
        <v>2302</v>
      </c>
      <c r="G128" s="5" t="s">
        <v>40</v>
      </c>
      <c r="H128" s="5">
        <v>1973.0</v>
      </c>
      <c r="I128" s="5" t="s">
        <v>18</v>
      </c>
      <c r="J128" s="5" t="s">
        <v>1048</v>
      </c>
    </row>
    <row r="129" ht="15.75" customHeight="1">
      <c r="A129" s="4" t="s">
        <v>2303</v>
      </c>
      <c r="B129" s="5" t="s">
        <v>1734</v>
      </c>
      <c r="C129" s="5" t="s">
        <v>2304</v>
      </c>
      <c r="D129" s="5" t="s">
        <v>2305</v>
      </c>
      <c r="E129" s="6"/>
      <c r="F129" s="5" t="s">
        <v>2306</v>
      </c>
      <c r="G129" s="5" t="s">
        <v>17</v>
      </c>
      <c r="H129" s="5">
        <v>1961.0</v>
      </c>
      <c r="I129" s="5" t="s">
        <v>18</v>
      </c>
      <c r="J129" s="5" t="s">
        <v>2307</v>
      </c>
    </row>
    <row r="130" ht="15.75" customHeight="1">
      <c r="A130" s="4" t="s">
        <v>2308</v>
      </c>
      <c r="B130" s="5" t="s">
        <v>2282</v>
      </c>
      <c r="C130" s="5" t="s">
        <v>2309</v>
      </c>
      <c r="D130" s="5" t="s">
        <v>2310</v>
      </c>
      <c r="E130" s="6"/>
      <c r="F130" s="5" t="s">
        <v>2311</v>
      </c>
      <c r="G130" s="5" t="s">
        <v>40</v>
      </c>
      <c r="H130" s="5">
        <v>1973.0</v>
      </c>
      <c r="I130" s="5" t="s">
        <v>870</v>
      </c>
      <c r="J130" s="5" t="s">
        <v>534</v>
      </c>
    </row>
    <row r="131" ht="15.75" customHeight="1">
      <c r="A131" s="4" t="s">
        <v>2312</v>
      </c>
      <c r="B131" s="5" t="s">
        <v>2313</v>
      </c>
      <c r="C131" s="5" t="s">
        <v>2314</v>
      </c>
      <c r="D131" s="5" t="s">
        <v>2315</v>
      </c>
      <c r="E131" s="5" t="s">
        <v>2316</v>
      </c>
      <c r="F131" s="5" t="s">
        <v>2317</v>
      </c>
      <c r="G131" s="5" t="s">
        <v>17</v>
      </c>
      <c r="H131" s="5">
        <v>1984.0</v>
      </c>
      <c r="I131" s="5" t="s">
        <v>18</v>
      </c>
      <c r="J131" s="5" t="s">
        <v>1088</v>
      </c>
    </row>
    <row r="132" ht="15.75" customHeight="1">
      <c r="A132" s="4" t="s">
        <v>2318</v>
      </c>
      <c r="B132" s="5" t="s">
        <v>2290</v>
      </c>
      <c r="C132" s="5" t="s">
        <v>2319</v>
      </c>
      <c r="D132" s="5" t="s">
        <v>2320</v>
      </c>
      <c r="E132" s="6"/>
      <c r="F132" s="5" t="s">
        <v>2321</v>
      </c>
      <c r="G132" s="5" t="s">
        <v>17</v>
      </c>
      <c r="H132" s="5">
        <v>1952.0</v>
      </c>
      <c r="I132" s="5" t="s">
        <v>18</v>
      </c>
      <c r="J132" s="5" t="s">
        <v>2322</v>
      </c>
    </row>
    <row r="133" ht="15.75" customHeight="1">
      <c r="A133" s="4" t="s">
        <v>2323</v>
      </c>
      <c r="B133" s="5" t="s">
        <v>1751</v>
      </c>
      <c r="C133" s="5" t="s">
        <v>2324</v>
      </c>
      <c r="D133" s="5" t="s">
        <v>2325</v>
      </c>
      <c r="E133" s="6"/>
      <c r="F133" s="5" t="s">
        <v>2326</v>
      </c>
      <c r="G133" s="5" t="s">
        <v>40</v>
      </c>
      <c r="H133" s="5">
        <v>1978.0</v>
      </c>
      <c r="I133" s="5" t="s">
        <v>18</v>
      </c>
      <c r="J133" s="5" t="s">
        <v>1162</v>
      </c>
    </row>
    <row r="134" ht="15.75" customHeight="1">
      <c r="A134" s="4" t="s">
        <v>2327</v>
      </c>
      <c r="B134" s="5" t="s">
        <v>2328</v>
      </c>
      <c r="C134" s="5" t="s">
        <v>2329</v>
      </c>
      <c r="D134" s="5" t="s">
        <v>2330</v>
      </c>
      <c r="E134" s="6"/>
      <c r="F134" s="5" t="s">
        <v>2331</v>
      </c>
      <c r="G134" s="5" t="s">
        <v>40</v>
      </c>
      <c r="H134" s="5">
        <v>1975.0</v>
      </c>
      <c r="I134" s="5" t="s">
        <v>18</v>
      </c>
      <c r="J134" s="5" t="s">
        <v>534</v>
      </c>
    </row>
    <row r="135" ht="15.75" customHeight="1">
      <c r="A135" s="4" t="s">
        <v>2332</v>
      </c>
      <c r="B135" s="5" t="s">
        <v>2333</v>
      </c>
      <c r="C135" s="5" t="s">
        <v>1705</v>
      </c>
      <c r="D135" s="5" t="s">
        <v>1706</v>
      </c>
      <c r="E135" s="6"/>
      <c r="F135" s="5" t="s">
        <v>1707</v>
      </c>
      <c r="G135" s="5" t="s">
        <v>40</v>
      </c>
      <c r="H135" s="5">
        <v>1960.0</v>
      </c>
      <c r="I135" s="5" t="s">
        <v>18</v>
      </c>
      <c r="J135" s="5" t="s">
        <v>107</v>
      </c>
    </row>
    <row r="136" ht="15.75" customHeight="1">
      <c r="A136" s="4" t="s">
        <v>2334</v>
      </c>
      <c r="B136" s="5" t="s">
        <v>2335</v>
      </c>
      <c r="C136" s="5" t="s">
        <v>1663</v>
      </c>
      <c r="D136" s="5" t="s">
        <v>1664</v>
      </c>
      <c r="E136" s="6"/>
      <c r="F136" s="5" t="s">
        <v>1665</v>
      </c>
      <c r="G136" s="5" t="s">
        <v>17</v>
      </c>
      <c r="H136" s="5">
        <v>1972.0</v>
      </c>
      <c r="I136" s="5" t="s">
        <v>18</v>
      </c>
      <c r="J136" s="5" t="s">
        <v>107</v>
      </c>
    </row>
    <row r="137" ht="15.75" customHeight="1">
      <c r="A137" s="4" t="s">
        <v>2336</v>
      </c>
      <c r="B137" s="5" t="s">
        <v>2337</v>
      </c>
      <c r="C137" s="5" t="s">
        <v>2329</v>
      </c>
      <c r="D137" s="5" t="s">
        <v>2330</v>
      </c>
      <c r="E137" s="6"/>
      <c r="F137" s="5" t="s">
        <v>2331</v>
      </c>
      <c r="G137" s="5" t="s">
        <v>40</v>
      </c>
      <c r="H137" s="5">
        <v>1975.0</v>
      </c>
      <c r="I137" s="5" t="s">
        <v>18</v>
      </c>
      <c r="J137" s="5" t="s">
        <v>534</v>
      </c>
    </row>
    <row r="138" ht="15.75" customHeight="1">
      <c r="A138" s="4" t="s">
        <v>2338</v>
      </c>
      <c r="B138" s="5" t="s">
        <v>2339</v>
      </c>
      <c r="C138" s="5" t="s">
        <v>2340</v>
      </c>
      <c r="D138" s="5" t="s">
        <v>1706</v>
      </c>
      <c r="E138" s="6"/>
      <c r="F138" s="5" t="s">
        <v>2341</v>
      </c>
      <c r="G138" s="5" t="s">
        <v>17</v>
      </c>
      <c r="H138" s="5">
        <v>1958.0</v>
      </c>
      <c r="I138" s="5" t="s">
        <v>18</v>
      </c>
      <c r="J138" s="5" t="s">
        <v>107</v>
      </c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13"/>
    <col customWidth="1" min="2" max="2" width="13.38"/>
    <col customWidth="1" min="3" max="3" width="28.0"/>
    <col customWidth="1" min="4" max="4" width="34.25"/>
    <col customWidth="1" min="5" max="6" width="14.38"/>
    <col customWidth="1" min="7" max="7" width="7.75"/>
    <col customWidth="1" min="8" max="8" width="7.13"/>
    <col customWidth="1" min="9" max="9" width="14.38"/>
    <col customWidth="1" min="10" max="10" width="39.75"/>
    <col customWidth="1" min="11" max="26" width="14.38"/>
  </cols>
  <sheetData>
    <row r="1" ht="15.75" customHeight="1">
      <c r="A1" s="1" t="s">
        <v>2342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.75" customHeight="1">
      <c r="A2" s="4" t="s">
        <v>10</v>
      </c>
      <c r="B2" s="5" t="s">
        <v>11</v>
      </c>
      <c r="C2" s="5" t="s">
        <v>12</v>
      </c>
      <c r="D2" s="5" t="s">
        <v>12</v>
      </c>
      <c r="E2" s="5" t="s">
        <v>12</v>
      </c>
      <c r="F2" s="5" t="s">
        <v>13</v>
      </c>
      <c r="G2" s="5" t="s">
        <v>12</v>
      </c>
      <c r="H2" s="5" t="s">
        <v>12</v>
      </c>
      <c r="I2" s="5" t="s">
        <v>12</v>
      </c>
      <c r="J2" s="6"/>
    </row>
    <row r="3" ht="15.75" customHeight="1">
      <c r="A3" s="4" t="s">
        <v>2343</v>
      </c>
      <c r="B3" s="5" t="s">
        <v>2344</v>
      </c>
      <c r="C3" s="5" t="s">
        <v>588</v>
      </c>
      <c r="D3" s="5" t="s">
        <v>589</v>
      </c>
      <c r="E3" s="6"/>
      <c r="F3" s="5">
        <v>9.06781974E8</v>
      </c>
      <c r="G3" s="5" t="s">
        <v>40</v>
      </c>
      <c r="H3" s="5">
        <v>1974.0</v>
      </c>
      <c r="I3" s="5" t="s">
        <v>18</v>
      </c>
      <c r="J3" s="5" t="s">
        <v>1708</v>
      </c>
    </row>
    <row r="4" ht="15.75" customHeight="1">
      <c r="A4" s="4" t="s">
        <v>2345</v>
      </c>
      <c r="B4" s="5" t="s">
        <v>2344</v>
      </c>
      <c r="C4" s="5" t="s">
        <v>1865</v>
      </c>
      <c r="D4" s="5" t="s">
        <v>1866</v>
      </c>
      <c r="E4" s="6"/>
      <c r="F4" s="5" t="s">
        <v>1867</v>
      </c>
      <c r="G4" s="5" t="s">
        <v>17</v>
      </c>
      <c r="H4" s="5">
        <v>1960.0</v>
      </c>
      <c r="I4" s="5" t="s">
        <v>18</v>
      </c>
      <c r="J4" s="5" t="s">
        <v>2346</v>
      </c>
    </row>
    <row r="5" ht="15.75" customHeight="1">
      <c r="A5" s="4" t="s">
        <v>2347</v>
      </c>
      <c r="B5" s="5" t="s">
        <v>2348</v>
      </c>
      <c r="C5" s="5" t="s">
        <v>2349</v>
      </c>
      <c r="D5" s="5" t="s">
        <v>2350</v>
      </c>
      <c r="E5" s="5" t="s">
        <v>2351</v>
      </c>
      <c r="F5" s="5" t="s">
        <v>2352</v>
      </c>
      <c r="G5" s="5" t="s">
        <v>17</v>
      </c>
      <c r="H5" s="5">
        <v>0.0</v>
      </c>
      <c r="I5" s="5" t="s">
        <v>188</v>
      </c>
      <c r="J5" s="5" t="s">
        <v>2353</v>
      </c>
    </row>
    <row r="6" ht="15.75" customHeight="1">
      <c r="A6" s="4" t="s">
        <v>2354</v>
      </c>
      <c r="B6" s="5" t="s">
        <v>2355</v>
      </c>
      <c r="C6" s="5" t="s">
        <v>2356</v>
      </c>
      <c r="D6" s="5" t="s">
        <v>2357</v>
      </c>
      <c r="E6" s="6"/>
      <c r="F6" s="5" t="s">
        <v>2358</v>
      </c>
      <c r="G6" s="5" t="s">
        <v>40</v>
      </c>
      <c r="H6" s="5">
        <v>1971.0</v>
      </c>
      <c r="I6" s="5" t="s">
        <v>18</v>
      </c>
      <c r="J6" s="5" t="s">
        <v>2359</v>
      </c>
    </row>
    <row r="7" ht="15.75" customHeight="1">
      <c r="A7" s="4" t="s">
        <v>2360</v>
      </c>
      <c r="B7" s="5" t="s">
        <v>2361</v>
      </c>
      <c r="C7" s="5" t="s">
        <v>2362</v>
      </c>
      <c r="D7" s="5" t="s">
        <v>2363</v>
      </c>
      <c r="E7" s="6"/>
      <c r="F7" s="5" t="s">
        <v>2364</v>
      </c>
      <c r="G7" s="5" t="s">
        <v>17</v>
      </c>
      <c r="H7" s="5">
        <v>1972.0</v>
      </c>
      <c r="I7" s="5" t="s">
        <v>18</v>
      </c>
      <c r="J7" s="5" t="s">
        <v>107</v>
      </c>
    </row>
    <row r="8" ht="15.75" customHeight="1">
      <c r="A8" s="4" t="s">
        <v>2365</v>
      </c>
      <c r="B8" s="5" t="s">
        <v>2366</v>
      </c>
      <c r="C8" s="5" t="s">
        <v>2367</v>
      </c>
      <c r="D8" s="5" t="s">
        <v>2368</v>
      </c>
      <c r="E8" s="6"/>
      <c r="F8" s="5" t="s">
        <v>2369</v>
      </c>
      <c r="G8" s="5" t="s">
        <v>17</v>
      </c>
      <c r="H8" s="5">
        <v>1956.0</v>
      </c>
      <c r="I8" s="5" t="s">
        <v>18</v>
      </c>
      <c r="J8" s="5" t="s">
        <v>971</v>
      </c>
    </row>
    <row r="9" ht="15.75" customHeight="1">
      <c r="A9" s="4" t="s">
        <v>2370</v>
      </c>
      <c r="B9" s="5" t="s">
        <v>2371</v>
      </c>
      <c r="C9" s="5" t="s">
        <v>2372</v>
      </c>
      <c r="D9" s="5" t="s">
        <v>2168</v>
      </c>
      <c r="E9" s="5" t="s">
        <v>2170</v>
      </c>
      <c r="F9" s="5" t="s">
        <v>2373</v>
      </c>
      <c r="G9" s="5" t="s">
        <v>17</v>
      </c>
      <c r="H9" s="5">
        <v>1989.0</v>
      </c>
      <c r="I9" s="5" t="s">
        <v>18</v>
      </c>
      <c r="J9" s="5" t="s">
        <v>985</v>
      </c>
    </row>
    <row r="10" ht="15.75" customHeight="1">
      <c r="A10" s="4" t="s">
        <v>2374</v>
      </c>
      <c r="B10" s="5" t="s">
        <v>2375</v>
      </c>
      <c r="C10" s="5" t="s">
        <v>2376</v>
      </c>
      <c r="D10" s="5" t="s">
        <v>2377</v>
      </c>
      <c r="E10" s="5" t="s">
        <v>162</v>
      </c>
      <c r="F10" s="5" t="s">
        <v>2378</v>
      </c>
      <c r="G10" s="5" t="s">
        <v>17</v>
      </c>
      <c r="H10" s="5">
        <v>1969.0</v>
      </c>
      <c r="I10" s="5" t="s">
        <v>70</v>
      </c>
      <c r="J10" s="5" t="s">
        <v>107</v>
      </c>
    </row>
    <row r="11" ht="15.75" customHeight="1">
      <c r="A11" s="4" t="s">
        <v>2379</v>
      </c>
      <c r="B11" s="5" t="s">
        <v>2380</v>
      </c>
      <c r="C11" s="5" t="s">
        <v>2381</v>
      </c>
      <c r="D11" s="5" t="s">
        <v>2382</v>
      </c>
      <c r="E11" s="6"/>
      <c r="F11" s="5" t="s">
        <v>162</v>
      </c>
      <c r="G11" s="5" t="s">
        <v>40</v>
      </c>
      <c r="H11" s="5">
        <v>1975.0</v>
      </c>
      <c r="I11" s="5" t="s">
        <v>70</v>
      </c>
      <c r="J11" s="5" t="s">
        <v>534</v>
      </c>
    </row>
    <row r="12" ht="15.75" customHeight="1">
      <c r="A12" s="4" t="s">
        <v>2383</v>
      </c>
      <c r="B12" s="5" t="s">
        <v>2384</v>
      </c>
      <c r="C12" s="5" t="s">
        <v>1778</v>
      </c>
      <c r="D12" s="5" t="s">
        <v>1779</v>
      </c>
      <c r="E12" s="6"/>
      <c r="F12" s="5" t="s">
        <v>1780</v>
      </c>
      <c r="G12" s="5" t="s">
        <v>17</v>
      </c>
      <c r="H12" s="5">
        <v>1957.0</v>
      </c>
      <c r="I12" s="5" t="s">
        <v>18</v>
      </c>
      <c r="J12" s="5" t="s">
        <v>1708</v>
      </c>
    </row>
    <row r="13" ht="15.75" customHeight="1">
      <c r="A13" s="4" t="s">
        <v>2385</v>
      </c>
      <c r="B13" s="5" t="s">
        <v>2386</v>
      </c>
      <c r="C13" s="5" t="s">
        <v>1159</v>
      </c>
      <c r="D13" s="5" t="s">
        <v>2387</v>
      </c>
      <c r="E13" s="6"/>
      <c r="F13" s="5" t="s">
        <v>2388</v>
      </c>
      <c r="G13" s="5" t="s">
        <v>40</v>
      </c>
      <c r="H13" s="5">
        <v>1951.0</v>
      </c>
      <c r="I13" s="5" t="s">
        <v>18</v>
      </c>
      <c r="J13" s="5" t="s">
        <v>2197</v>
      </c>
    </row>
    <row r="14" ht="15.75" customHeight="1">
      <c r="A14" s="4" t="s">
        <v>2389</v>
      </c>
      <c r="B14" s="5" t="s">
        <v>2390</v>
      </c>
      <c r="C14" s="5" t="s">
        <v>2391</v>
      </c>
      <c r="D14" s="5" t="s">
        <v>2392</v>
      </c>
      <c r="E14" s="6"/>
      <c r="F14" s="5" t="s">
        <v>2393</v>
      </c>
      <c r="G14" s="5" t="s">
        <v>17</v>
      </c>
      <c r="H14" s="5">
        <v>1985.0</v>
      </c>
      <c r="I14" s="5" t="s">
        <v>70</v>
      </c>
      <c r="J14" s="5" t="s">
        <v>985</v>
      </c>
    </row>
    <row r="15" ht="15.75" customHeight="1">
      <c r="A15" s="4" t="s">
        <v>2394</v>
      </c>
      <c r="B15" s="5" t="s">
        <v>2395</v>
      </c>
      <c r="C15" s="5" t="s">
        <v>2356</v>
      </c>
      <c r="D15" s="5" t="s">
        <v>2357</v>
      </c>
      <c r="E15" s="6"/>
      <c r="F15" s="5" t="s">
        <v>2358</v>
      </c>
      <c r="G15" s="5" t="s">
        <v>40</v>
      </c>
      <c r="H15" s="5">
        <v>1971.0</v>
      </c>
      <c r="I15" s="5" t="s">
        <v>18</v>
      </c>
      <c r="J15" s="5" t="s">
        <v>2396</v>
      </c>
    </row>
    <row r="16" ht="15.75" customHeight="1">
      <c r="A16" s="4" t="s">
        <v>2397</v>
      </c>
      <c r="B16" s="5" t="s">
        <v>2398</v>
      </c>
      <c r="C16" s="5" t="s">
        <v>2229</v>
      </c>
      <c r="D16" s="6"/>
      <c r="E16" s="5" t="s">
        <v>1109</v>
      </c>
      <c r="F16" s="6"/>
      <c r="G16" s="5" t="s">
        <v>17</v>
      </c>
      <c r="H16" s="5">
        <v>0.0</v>
      </c>
      <c r="I16" s="5" t="s">
        <v>188</v>
      </c>
      <c r="J16" s="5" t="s">
        <v>1708</v>
      </c>
    </row>
    <row r="17" ht="15.75" customHeight="1">
      <c r="A17" s="4" t="s">
        <v>2399</v>
      </c>
      <c r="B17" s="5" t="s">
        <v>2400</v>
      </c>
      <c r="C17" s="5" t="s">
        <v>2401</v>
      </c>
      <c r="D17" s="5" t="s">
        <v>2402</v>
      </c>
      <c r="E17" s="6"/>
      <c r="F17" s="5" t="s">
        <v>2403</v>
      </c>
      <c r="G17" s="5" t="s">
        <v>40</v>
      </c>
      <c r="H17" s="5">
        <v>1986.0</v>
      </c>
      <c r="I17" s="5" t="s">
        <v>18</v>
      </c>
      <c r="J17" s="5" t="s">
        <v>985</v>
      </c>
    </row>
    <row r="18" ht="15.75" customHeight="1">
      <c r="A18" s="4" t="s">
        <v>2404</v>
      </c>
      <c r="B18" s="5" t="s">
        <v>2405</v>
      </c>
      <c r="C18" s="5" t="s">
        <v>2406</v>
      </c>
      <c r="D18" s="5" t="s">
        <v>2407</v>
      </c>
      <c r="E18" s="6"/>
      <c r="F18" s="5" t="s">
        <v>2408</v>
      </c>
      <c r="G18" s="5" t="s">
        <v>40</v>
      </c>
      <c r="H18" s="5">
        <v>1982.0</v>
      </c>
      <c r="I18" s="5" t="s">
        <v>18</v>
      </c>
      <c r="J18" s="5" t="s">
        <v>2409</v>
      </c>
    </row>
    <row r="19" ht="15.75" customHeight="1">
      <c r="A19" s="4" t="s">
        <v>2410</v>
      </c>
      <c r="B19" s="5" t="s">
        <v>2411</v>
      </c>
      <c r="C19" s="5" t="s">
        <v>1396</v>
      </c>
      <c r="D19" s="5" t="s">
        <v>1397</v>
      </c>
      <c r="E19" s="6"/>
      <c r="F19" s="5" t="s">
        <v>1398</v>
      </c>
      <c r="G19" s="5" t="s">
        <v>40</v>
      </c>
      <c r="H19" s="5">
        <v>1972.0</v>
      </c>
      <c r="I19" s="5" t="s">
        <v>18</v>
      </c>
      <c r="J19" s="5" t="s">
        <v>1708</v>
      </c>
    </row>
    <row r="20" ht="15.75" customHeight="1">
      <c r="A20" s="4" t="s">
        <v>2412</v>
      </c>
      <c r="B20" s="5" t="s">
        <v>2413</v>
      </c>
      <c r="C20" s="5" t="s">
        <v>2414</v>
      </c>
      <c r="D20" s="5" t="s">
        <v>2415</v>
      </c>
      <c r="E20" s="6"/>
      <c r="F20" s="5" t="s">
        <v>2416</v>
      </c>
      <c r="G20" s="5" t="s">
        <v>17</v>
      </c>
      <c r="H20" s="5">
        <v>1973.0</v>
      </c>
      <c r="I20" s="5" t="s">
        <v>70</v>
      </c>
      <c r="J20" s="5" t="s">
        <v>2417</v>
      </c>
    </row>
    <row r="21" ht="15.75" customHeight="1">
      <c r="A21" s="4" t="s">
        <v>2418</v>
      </c>
      <c r="B21" s="5" t="s">
        <v>2419</v>
      </c>
      <c r="C21" s="5" t="s">
        <v>1565</v>
      </c>
      <c r="D21" s="5" t="s">
        <v>1566</v>
      </c>
      <c r="E21" s="5" t="s">
        <v>1567</v>
      </c>
      <c r="F21" s="5">
        <v>9.36155991E8</v>
      </c>
      <c r="G21" s="5" t="s">
        <v>40</v>
      </c>
      <c r="H21" s="5">
        <v>1984.0</v>
      </c>
      <c r="I21" s="5" t="s">
        <v>18</v>
      </c>
      <c r="J21" s="5" t="s">
        <v>1708</v>
      </c>
    </row>
    <row r="22" ht="15.75" customHeight="1">
      <c r="A22" s="4" t="s">
        <v>2420</v>
      </c>
      <c r="B22" s="5" t="s">
        <v>2421</v>
      </c>
      <c r="C22" s="5" t="s">
        <v>2422</v>
      </c>
      <c r="D22" s="5" t="s">
        <v>2423</v>
      </c>
      <c r="E22" s="6"/>
      <c r="F22" s="5" t="s">
        <v>2424</v>
      </c>
      <c r="G22" s="5" t="s">
        <v>40</v>
      </c>
      <c r="H22" s="5">
        <v>1984.0</v>
      </c>
      <c r="I22" s="5" t="s">
        <v>18</v>
      </c>
      <c r="J22" s="5" t="s">
        <v>226</v>
      </c>
    </row>
    <row r="23" ht="15.75" customHeight="1">
      <c r="A23" s="4" t="s">
        <v>2425</v>
      </c>
      <c r="B23" s="5" t="s">
        <v>2426</v>
      </c>
      <c r="C23" s="5" t="s">
        <v>2427</v>
      </c>
      <c r="D23" s="5" t="s">
        <v>2428</v>
      </c>
      <c r="E23" s="6"/>
      <c r="F23" s="5" t="s">
        <v>2429</v>
      </c>
      <c r="G23" s="5" t="s">
        <v>17</v>
      </c>
      <c r="H23" s="5">
        <v>1978.0</v>
      </c>
      <c r="I23" s="5" t="s">
        <v>70</v>
      </c>
      <c r="J23" s="5" t="s">
        <v>985</v>
      </c>
    </row>
    <row r="24" ht="15.75" customHeight="1">
      <c r="A24" s="4" t="s">
        <v>2430</v>
      </c>
      <c r="B24" s="5" t="s">
        <v>2431</v>
      </c>
      <c r="C24" s="5" t="s">
        <v>30</v>
      </c>
      <c r="D24" s="5" t="s">
        <v>31</v>
      </c>
      <c r="E24" s="6"/>
      <c r="F24" s="5">
        <v>9.03845554E8</v>
      </c>
      <c r="G24" s="5" t="s">
        <v>17</v>
      </c>
      <c r="H24" s="5">
        <v>1970.0</v>
      </c>
      <c r="I24" s="5" t="s">
        <v>18</v>
      </c>
      <c r="J24" s="5" t="s">
        <v>1399</v>
      </c>
    </row>
    <row r="25" ht="15.75" customHeight="1">
      <c r="A25" s="4" t="s">
        <v>2432</v>
      </c>
      <c r="B25" s="5" t="s">
        <v>2433</v>
      </c>
      <c r="C25" s="5" t="s">
        <v>2414</v>
      </c>
      <c r="D25" s="5" t="s">
        <v>2415</v>
      </c>
      <c r="E25" s="6"/>
      <c r="F25" s="5" t="s">
        <v>2416</v>
      </c>
      <c r="G25" s="5" t="s">
        <v>17</v>
      </c>
      <c r="H25" s="5">
        <v>1973.0</v>
      </c>
      <c r="I25" s="5" t="s">
        <v>70</v>
      </c>
      <c r="J25" s="5" t="s">
        <v>2417</v>
      </c>
    </row>
    <row r="26" ht="15.75" customHeight="1">
      <c r="A26" s="4" t="s">
        <v>2434</v>
      </c>
      <c r="B26" s="5" t="s">
        <v>2435</v>
      </c>
      <c r="C26" s="5" t="s">
        <v>2436</v>
      </c>
      <c r="D26" s="5" t="s">
        <v>2437</v>
      </c>
      <c r="E26" s="5" t="s">
        <v>2438</v>
      </c>
      <c r="F26" s="5" t="s">
        <v>2439</v>
      </c>
      <c r="G26" s="5" t="s">
        <v>17</v>
      </c>
      <c r="H26" s="5">
        <v>1976.0</v>
      </c>
      <c r="I26" s="5" t="s">
        <v>70</v>
      </c>
      <c r="J26" s="5" t="s">
        <v>1755</v>
      </c>
    </row>
    <row r="27" ht="15.75" customHeight="1">
      <c r="A27" s="4" t="s">
        <v>2440</v>
      </c>
      <c r="B27" s="5" t="s">
        <v>2441</v>
      </c>
      <c r="C27" s="5" t="s">
        <v>1477</v>
      </c>
      <c r="D27" s="5" t="s">
        <v>1478</v>
      </c>
      <c r="E27" s="5" t="s">
        <v>1479</v>
      </c>
      <c r="F27" s="5" t="s">
        <v>1480</v>
      </c>
      <c r="G27" s="5" t="s">
        <v>40</v>
      </c>
      <c r="H27" s="5">
        <v>1942.0</v>
      </c>
      <c r="I27" s="5" t="s">
        <v>18</v>
      </c>
      <c r="J27" s="5" t="s">
        <v>1708</v>
      </c>
    </row>
    <row r="28" ht="15.75" customHeight="1">
      <c r="A28" s="4" t="s">
        <v>2442</v>
      </c>
      <c r="B28" s="5" t="s">
        <v>2443</v>
      </c>
      <c r="C28" s="5" t="s">
        <v>2444</v>
      </c>
      <c r="D28" s="5" t="s">
        <v>2445</v>
      </c>
      <c r="E28" s="6"/>
      <c r="F28" s="5" t="s">
        <v>2446</v>
      </c>
      <c r="G28" s="5" t="s">
        <v>40</v>
      </c>
      <c r="H28" s="5">
        <v>1988.0</v>
      </c>
      <c r="I28" s="5" t="s">
        <v>18</v>
      </c>
      <c r="J28" s="5" t="s">
        <v>2197</v>
      </c>
    </row>
    <row r="29" ht="15.75" customHeight="1">
      <c r="A29" s="4" t="s">
        <v>2447</v>
      </c>
      <c r="B29" s="5" t="s">
        <v>2448</v>
      </c>
      <c r="C29" s="5" t="s">
        <v>2449</v>
      </c>
      <c r="D29" s="5" t="s">
        <v>2450</v>
      </c>
      <c r="E29" s="6"/>
      <c r="F29" s="5" t="s">
        <v>2451</v>
      </c>
      <c r="G29" s="5" t="s">
        <v>40</v>
      </c>
      <c r="H29" s="5">
        <v>1967.0</v>
      </c>
      <c r="I29" s="5" t="s">
        <v>70</v>
      </c>
      <c r="J29" s="5" t="s">
        <v>1088</v>
      </c>
    </row>
    <row r="30" ht="15.75" customHeight="1">
      <c r="A30" s="4" t="s">
        <v>2452</v>
      </c>
      <c r="B30" s="5" t="s">
        <v>2453</v>
      </c>
      <c r="C30" s="5" t="s">
        <v>2454</v>
      </c>
      <c r="D30" s="5" t="s">
        <v>2455</v>
      </c>
      <c r="E30" s="5" t="s">
        <v>2456</v>
      </c>
      <c r="F30" s="5" t="s">
        <v>2457</v>
      </c>
      <c r="G30" s="5" t="s">
        <v>40</v>
      </c>
      <c r="H30" s="5">
        <v>1976.0</v>
      </c>
      <c r="I30" s="5" t="s">
        <v>70</v>
      </c>
      <c r="J30" s="5" t="s">
        <v>1755</v>
      </c>
    </row>
    <row r="31" ht="15.75" customHeight="1">
      <c r="A31" s="4" t="s">
        <v>2458</v>
      </c>
      <c r="B31" s="5" t="s">
        <v>2459</v>
      </c>
      <c r="C31" s="5" t="s">
        <v>2460</v>
      </c>
      <c r="D31" s="5" t="s">
        <v>2461</v>
      </c>
      <c r="E31" s="6"/>
      <c r="F31" s="5" t="s">
        <v>2462</v>
      </c>
      <c r="G31" s="5" t="s">
        <v>40</v>
      </c>
      <c r="H31" s="5">
        <v>1976.0</v>
      </c>
      <c r="I31" s="5" t="s">
        <v>18</v>
      </c>
      <c r="J31" s="5" t="s">
        <v>107</v>
      </c>
    </row>
    <row r="32" ht="15.75" customHeight="1">
      <c r="A32" s="4" t="s">
        <v>2463</v>
      </c>
      <c r="B32" s="5" t="s">
        <v>2464</v>
      </c>
      <c r="C32" s="5" t="s">
        <v>2465</v>
      </c>
      <c r="D32" s="5" t="s">
        <v>2466</v>
      </c>
      <c r="E32" s="6"/>
      <c r="F32" s="5" t="s">
        <v>2467</v>
      </c>
      <c r="G32" s="5" t="s">
        <v>17</v>
      </c>
      <c r="H32" s="5">
        <v>1969.0</v>
      </c>
      <c r="I32" s="5" t="s">
        <v>18</v>
      </c>
      <c r="J32" s="5" t="s">
        <v>107</v>
      </c>
    </row>
    <row r="33" ht="15.75" customHeight="1">
      <c r="A33" s="4" t="s">
        <v>2468</v>
      </c>
      <c r="B33" s="5" t="s">
        <v>2469</v>
      </c>
      <c r="C33" s="5" t="s">
        <v>2470</v>
      </c>
      <c r="D33" s="5" t="s">
        <v>2471</v>
      </c>
      <c r="E33" s="6"/>
      <c r="F33" s="5" t="s">
        <v>2472</v>
      </c>
      <c r="G33" s="6"/>
      <c r="H33" s="5">
        <v>0.0</v>
      </c>
      <c r="I33" s="5" t="s">
        <v>188</v>
      </c>
      <c r="J33" s="5" t="s">
        <v>1140</v>
      </c>
    </row>
    <row r="34" ht="15.75" customHeight="1">
      <c r="A34" s="4" t="s">
        <v>2473</v>
      </c>
      <c r="B34" s="5" t="s">
        <v>2474</v>
      </c>
      <c r="C34" s="5" t="s">
        <v>2475</v>
      </c>
      <c r="D34" s="5" t="s">
        <v>2476</v>
      </c>
      <c r="E34" s="5" t="s">
        <v>2477</v>
      </c>
      <c r="F34" s="5" t="s">
        <v>2478</v>
      </c>
      <c r="G34" s="6"/>
      <c r="H34" s="5">
        <v>0.0</v>
      </c>
      <c r="I34" s="5" t="s">
        <v>188</v>
      </c>
      <c r="J34" s="5" t="s">
        <v>985</v>
      </c>
    </row>
    <row r="35" ht="15.75" customHeight="1">
      <c r="A35" s="4" t="s">
        <v>2479</v>
      </c>
      <c r="B35" s="5" t="s">
        <v>2480</v>
      </c>
      <c r="C35" s="5" t="s">
        <v>2481</v>
      </c>
      <c r="D35" s="5" t="s">
        <v>2482</v>
      </c>
      <c r="E35" s="6"/>
      <c r="F35" s="5" t="s">
        <v>2483</v>
      </c>
      <c r="G35" s="5" t="s">
        <v>40</v>
      </c>
      <c r="H35" s="5">
        <v>1975.0</v>
      </c>
      <c r="I35" s="5" t="s">
        <v>70</v>
      </c>
      <c r="J35" s="5" t="s">
        <v>985</v>
      </c>
    </row>
    <row r="36" ht="15.75" customHeight="1">
      <c r="A36" s="4" t="s">
        <v>2484</v>
      </c>
      <c r="B36" s="5" t="s">
        <v>2485</v>
      </c>
      <c r="C36" s="5" t="s">
        <v>2486</v>
      </c>
      <c r="D36" s="5" t="s">
        <v>2487</v>
      </c>
      <c r="E36" s="6"/>
      <c r="F36" s="5" t="s">
        <v>2488</v>
      </c>
      <c r="G36" s="5" t="s">
        <v>40</v>
      </c>
      <c r="H36" s="5">
        <v>1962.0</v>
      </c>
      <c r="I36" s="5" t="s">
        <v>18</v>
      </c>
      <c r="J36" s="5" t="s">
        <v>985</v>
      </c>
    </row>
    <row r="37" ht="15.75" customHeight="1">
      <c r="A37" s="4" t="s">
        <v>2489</v>
      </c>
      <c r="B37" s="5" t="s">
        <v>2490</v>
      </c>
      <c r="C37" s="5" t="s">
        <v>2491</v>
      </c>
      <c r="D37" s="5" t="s">
        <v>2492</v>
      </c>
      <c r="E37" s="6"/>
      <c r="F37" s="5" t="s">
        <v>2493</v>
      </c>
      <c r="G37" s="5" t="s">
        <v>40</v>
      </c>
      <c r="H37" s="5">
        <v>1977.0</v>
      </c>
      <c r="I37" s="5" t="s">
        <v>18</v>
      </c>
      <c r="J37" s="5" t="s">
        <v>2028</v>
      </c>
    </row>
    <row r="38" ht="15.75" customHeight="1">
      <c r="A38" s="4" t="s">
        <v>2494</v>
      </c>
      <c r="B38" s="5" t="s">
        <v>2495</v>
      </c>
      <c r="C38" s="5" t="s">
        <v>2496</v>
      </c>
      <c r="D38" s="5" t="s">
        <v>2497</v>
      </c>
      <c r="E38" s="5" t="s">
        <v>2498</v>
      </c>
      <c r="F38" s="5" t="s">
        <v>2499</v>
      </c>
      <c r="G38" s="5" t="s">
        <v>40</v>
      </c>
      <c r="H38" s="5">
        <v>1980.0</v>
      </c>
      <c r="I38" s="5" t="s">
        <v>70</v>
      </c>
      <c r="J38" s="5" t="s">
        <v>1123</v>
      </c>
    </row>
    <row r="39" ht="15.75" customHeight="1">
      <c r="A39" s="4" t="s">
        <v>2500</v>
      </c>
      <c r="B39" s="5" t="s">
        <v>2501</v>
      </c>
      <c r="C39" s="5" t="s">
        <v>1764</v>
      </c>
      <c r="D39" s="5" t="s">
        <v>1765</v>
      </c>
      <c r="E39" s="6"/>
      <c r="F39" s="5" t="s">
        <v>1766</v>
      </c>
      <c r="G39" s="5" t="s">
        <v>40</v>
      </c>
      <c r="H39" s="5">
        <v>1985.0</v>
      </c>
      <c r="I39" s="5" t="s">
        <v>18</v>
      </c>
      <c r="J39" s="5" t="s">
        <v>1399</v>
      </c>
    </row>
    <row r="40" ht="15.75" customHeight="1">
      <c r="A40" s="4" t="s">
        <v>2502</v>
      </c>
      <c r="B40" s="5" t="s">
        <v>2503</v>
      </c>
      <c r="C40" s="5" t="s">
        <v>2504</v>
      </c>
      <c r="D40" s="5" t="s">
        <v>2505</v>
      </c>
      <c r="E40" s="6"/>
      <c r="F40" s="5" t="s">
        <v>2506</v>
      </c>
      <c r="G40" s="5" t="s">
        <v>40</v>
      </c>
      <c r="H40" s="5">
        <v>1980.0</v>
      </c>
      <c r="I40" s="5" t="s">
        <v>18</v>
      </c>
      <c r="J40" s="5" t="s">
        <v>1088</v>
      </c>
    </row>
    <row r="41" ht="15.75" customHeight="1">
      <c r="A41" s="4" t="s">
        <v>2507</v>
      </c>
      <c r="B41" s="5" t="s">
        <v>2508</v>
      </c>
      <c r="C41" s="5" t="s">
        <v>2509</v>
      </c>
      <c r="D41" s="5" t="s">
        <v>2510</v>
      </c>
      <c r="E41" s="6"/>
      <c r="F41" s="5" t="s">
        <v>2511</v>
      </c>
      <c r="G41" s="5" t="s">
        <v>40</v>
      </c>
      <c r="H41" s="5">
        <v>1955.0</v>
      </c>
      <c r="I41" s="5" t="s">
        <v>18</v>
      </c>
      <c r="J41" s="5" t="s">
        <v>985</v>
      </c>
    </row>
    <row r="42" ht="15.75" customHeight="1">
      <c r="A42" s="4" t="s">
        <v>2512</v>
      </c>
      <c r="B42" s="5" t="s">
        <v>2513</v>
      </c>
      <c r="C42" s="5" t="s">
        <v>2514</v>
      </c>
      <c r="D42" s="5" t="s">
        <v>2515</v>
      </c>
      <c r="E42" s="5" t="s">
        <v>2516</v>
      </c>
      <c r="F42" s="5" t="s">
        <v>2517</v>
      </c>
      <c r="G42" s="5" t="s">
        <v>40</v>
      </c>
      <c r="H42" s="5">
        <v>1963.0</v>
      </c>
      <c r="I42" s="5" t="s">
        <v>18</v>
      </c>
      <c r="J42" s="5" t="s">
        <v>2197</v>
      </c>
    </row>
    <row r="43" ht="15.75" customHeight="1">
      <c r="A43" s="4" t="s">
        <v>2518</v>
      </c>
      <c r="B43" s="5" t="s">
        <v>2519</v>
      </c>
      <c r="C43" s="5" t="s">
        <v>2520</v>
      </c>
      <c r="D43" s="5" t="s">
        <v>2497</v>
      </c>
      <c r="E43" s="5" t="s">
        <v>2498</v>
      </c>
      <c r="F43" s="5" t="s">
        <v>2521</v>
      </c>
      <c r="G43" s="5" t="s">
        <v>17</v>
      </c>
      <c r="H43" s="5">
        <v>1988.0</v>
      </c>
      <c r="I43" s="5" t="s">
        <v>70</v>
      </c>
      <c r="J43" s="5" t="s">
        <v>1123</v>
      </c>
    </row>
    <row r="44" ht="15.75" customHeight="1">
      <c r="A44" s="4" t="s">
        <v>2522</v>
      </c>
      <c r="B44" s="5" t="s">
        <v>2523</v>
      </c>
      <c r="C44" s="5" t="s">
        <v>2524</v>
      </c>
      <c r="D44" s="5" t="s">
        <v>2525</v>
      </c>
      <c r="E44" s="5" t="s">
        <v>2526</v>
      </c>
      <c r="F44" s="5" t="s">
        <v>2527</v>
      </c>
      <c r="G44" s="5" t="s">
        <v>40</v>
      </c>
      <c r="H44" s="5">
        <v>1969.0</v>
      </c>
      <c r="I44" s="5" t="s">
        <v>18</v>
      </c>
      <c r="J44" s="5" t="s">
        <v>985</v>
      </c>
    </row>
    <row r="45" ht="15.75" customHeight="1">
      <c r="A45" s="4" t="s">
        <v>2528</v>
      </c>
      <c r="B45" s="5" t="s">
        <v>2529</v>
      </c>
      <c r="C45" s="5" t="s">
        <v>2530</v>
      </c>
      <c r="D45" s="5" t="s">
        <v>2531</v>
      </c>
      <c r="E45" s="6"/>
      <c r="F45" s="5" t="s">
        <v>2532</v>
      </c>
      <c r="G45" s="5" t="s">
        <v>40</v>
      </c>
      <c r="H45" s="5">
        <v>1975.0</v>
      </c>
      <c r="I45" s="5" t="s">
        <v>70</v>
      </c>
      <c r="J45" s="5" t="s">
        <v>985</v>
      </c>
    </row>
    <row r="46" ht="15.75" customHeight="1">
      <c r="A46" s="4" t="s">
        <v>2533</v>
      </c>
      <c r="B46" s="5" t="s">
        <v>2534</v>
      </c>
      <c r="C46" s="5" t="s">
        <v>2524</v>
      </c>
      <c r="D46" s="5" t="s">
        <v>2525</v>
      </c>
      <c r="E46" s="5" t="s">
        <v>2526</v>
      </c>
      <c r="F46" s="5" t="s">
        <v>2527</v>
      </c>
      <c r="G46" s="5" t="s">
        <v>40</v>
      </c>
      <c r="H46" s="5">
        <v>1969.0</v>
      </c>
      <c r="I46" s="5" t="s">
        <v>18</v>
      </c>
      <c r="J46" s="5" t="s">
        <v>985</v>
      </c>
    </row>
    <row r="47" ht="15.75" customHeight="1">
      <c r="A47" s="4" t="s">
        <v>2535</v>
      </c>
      <c r="B47" s="5" t="s">
        <v>2536</v>
      </c>
      <c r="C47" s="5" t="s">
        <v>2167</v>
      </c>
      <c r="D47" s="5" t="s">
        <v>2168</v>
      </c>
      <c r="E47" s="5" t="s">
        <v>2169</v>
      </c>
      <c r="F47" s="5" t="s">
        <v>2170</v>
      </c>
      <c r="G47" s="5" t="s">
        <v>40</v>
      </c>
      <c r="H47" s="5">
        <v>1962.0</v>
      </c>
      <c r="I47" s="5" t="s">
        <v>18</v>
      </c>
      <c r="J47" s="5" t="s">
        <v>2346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I$1:$I$47"/>
  <printOptions/>
  <pageMargins bottom="0.75" footer="0.0" header="0.0" left="0.7" right="0.7" top="0.75"/>
  <pageSetup orientation="landscape"/>
  <drawing r:id="rId1"/>
</worksheet>
</file>