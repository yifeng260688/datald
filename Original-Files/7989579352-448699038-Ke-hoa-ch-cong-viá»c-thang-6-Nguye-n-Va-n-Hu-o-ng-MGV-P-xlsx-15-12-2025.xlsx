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guyễn Văn Hường MGV Phú Quốc\Hường MGV\Kế hoạch MKT\Kế hoạch SCV 2019\"/>
    </mc:Choice>
  </mc:AlternateContent>
  <xr:revisionPtr revIDLastSave="0" documentId="13_ncr:1_{08451161-E239-412A-A446-A406D1ED301B}" xr6:coauthVersionLast="43" xr6:coauthVersionMax="43" xr10:uidLastSave="{00000000-0000-0000-0000-000000000000}"/>
  <bookViews>
    <workbookView xWindow="-110" yWindow="-110" windowWidth="19420" windowHeight="10420" xr2:uid="{00000000-000D-0000-FFFF-FFFF00000000}"/>
  </bookViews>
  <sheets>
    <sheet name="Kế hoạch làm việc tháng 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4" i="1" l="1"/>
</calcChain>
</file>

<file path=xl/sharedStrings.xml><?xml version="1.0" encoding="utf-8"?>
<sst xmlns="http://schemas.openxmlformats.org/spreadsheetml/2006/main" count="50" uniqueCount="48">
  <si>
    <t>STT</t>
  </si>
  <si>
    <t>CÁC KÊNH KHAI THÁC KH</t>
  </si>
  <si>
    <t>CHƯƠNG TRÌNH</t>
  </si>
  <si>
    <t>NỘI DUNG CHI TIẾT</t>
  </si>
  <si>
    <t>THỜI GIAN</t>
  </si>
  <si>
    <t>CHI PHÍ DỰ TRÙ</t>
  </si>
  <si>
    <t>Đăng tin trên các website BĐS</t>
  </si>
  <si>
    <t>Facebook</t>
  </si>
  <si>
    <t>Chạy tìm kiếm khách hàng tiềm năng</t>
  </si>
  <si>
    <t>Telesales</t>
  </si>
  <si>
    <t>Chăm sóc khách cũ</t>
  </si>
  <si>
    <t>Maketing trực tiếp</t>
  </si>
  <si>
    <t>Đăng tin Vip1 trên trang batdongsan.com.vn( 1 tuần), hằng ngày đăng đều từ 2-3 tin thường.</t>
  </si>
  <si>
    <t>Chạy tương tác khách hàng</t>
  </si>
  <si>
    <t>Cộng tác viên</t>
  </si>
  <si>
    <t>NVKD: NGUYỄN VĂN HƯỜNG. SÀN MGV.P</t>
  </si>
  <si>
    <t>Đăng tin condotel, biệt thự, shophouse WTF, PQMS và các dự án của đối thủ như: Vin, Sun, CEO,… trên các trang web BDS.</t>
  </si>
  <si>
    <t>Đăng đều hàng ngày, hàng tuần</t>
  </si>
  <si>
    <t>Đăng tin thường trên các trang đăng tin, hằng ngày đăng đều từ 2 tin thường, để lấy thông tin các khách hàng tiềm năng quan tâm dự án.</t>
  </si>
  <si>
    <t>Gọi điện data khách hàng cũ và tìm mua data mới</t>
  </si>
  <si>
    <t>Chạy tương tác theo tuần</t>
  </si>
  <si>
    <t>Chạy hàng ngày, nếu không hiệu quả sẽ tắt và chạy Content, target mới</t>
  </si>
  <si>
    <t>Liên kết mở rộng mối quan hệ, tìm kiếm CTV liên kết với các nhân viên các sàn của các dự án khác</t>
  </si>
  <si>
    <t>Kết hợp với những ngày ở văn phòng dự án telesales và thời gian rãnh khi đi maketing trực tiếp và vào buổi tối</t>
  </si>
  <si>
    <t>Đăng tin dự án Palm Garden và 2 căn PQMS lớn</t>
  </si>
  <si>
    <t>Đăng tin dự án PG &amp; PQMS lớn  trên các trang BĐS lớn như: batdongsan.com.vn, cafeland.vn, alonhadat.com, diaoconline.vn, homedy.com</t>
  </si>
  <si>
    <t>Chạy quảng cáo tương tác bài viết, các điểm đặc biệt nổi bật , quảng cáo hình ảnh, bài viết về dự án PG và 2 căn PQMS lớn để khách hàng tiềm năng biết tới dự án trước.</t>
  </si>
  <si>
    <t>Chạy các quảng cáo tìm kiếm KH tiềm năng nhắm vào các đối tượng khách hàng khác nhau, nhắm vào các địa điểm chính ( Hà Nội, Sài Gòn, Phú Quốc, Cần Thơ, Phan Thiết,…)</t>
  </si>
  <si>
    <t>Chuẩn bị dụng cụ và các công cụ cần thiềt về dự án PG &amp; 2 căn PQMS lớn để Maketing tốt nhất</t>
  </si>
  <si>
    <t>Khai thác trực tiếp ở các điểm du lịch ( như: sân bay, ga cáp treo, Bãi Sao, quảng trường biển Sailing Club Phú Quốc, các dự án khu vực Bãi Trường và 1 số khu vực vip như InterContinental, Novotel, buổi tối khai thác chợ đêm, dọc các tuyến đường Dương Đông, Dinh Cậu)</t>
  </si>
  <si>
    <t>Thứ 4 và thứ 5 hàng tuần</t>
  </si>
  <si>
    <t>Thứ 3 và thứ 6 hàng tuần</t>
  </si>
  <si>
    <t>Gọi điện, gửi mail, gửi thông tin hình ảnh PG, 2 căn PQMS lớn qua zalo, viber, mail cho các khách cũ từng quan tâm đến dự án Phú Quốc</t>
  </si>
  <si>
    <t>Gửi và cập nhật thông tin mới hàng ngày, hàng tuần, cập nhật tiến độ dự án cho khách hàng quan tâm</t>
  </si>
  <si>
    <t>Spam SMS, Spam mail</t>
  </si>
  <si>
    <t>BẢNG KẾ HOẠCH CHI TIẾT CÔNG VIỆC THÁNG 6  VÀ CHI PHÍ DỰ TRÙ</t>
  </si>
  <si>
    <t>Tổng chi phí dự trù</t>
  </si>
  <si>
    <t>Gọi điện data trong các ngày đã phân chia trong tuần, 1 ngày telesales từ 4 - 5 tiếng, 1 tuần 2 ngày làm việc tại dự án, văn phòng Dương Đông &amp; telesale</t>
  </si>
  <si>
    <t>CHỈ TIÊU CÔNG VIỆC</t>
  </si>
  <si>
    <t>Phủ tin dự án và số điện thoại trên google</t>
  </si>
  <si>
    <t>Tương tác bài viết</t>
  </si>
  <si>
    <t>1 tuần 4 - 5 khách điền form</t>
  </si>
  <si>
    <t>1 tuần khai thác được 8-10 số điện thoại khách hàng quan tâm Phú Quốc, mời 1 khách tham quan dự án</t>
  </si>
  <si>
    <t>1 tuần telesale được 5-7 khách hàng quan tâm Phú Quốc, hẹn gặp chia sẻ dự án 3 khách hàng</t>
  </si>
  <si>
    <t>Khai thác mới quan hệ từ khách hàng cũ đã mua và chăm sóc những khách hàng đã quan tâm dự án nhưng chưa phát sinh giao dịch</t>
  </si>
  <si>
    <t>Spam 5000-7000 số điện thoại</t>
  </si>
  <si>
    <t>Phát sinh 1 giao dịch từ kênh CTV</t>
  </si>
  <si>
    <t>Chỉ tiêu công việc tháng 6: 5 giao dịch chỗ PG ----&gt;&gt;&gt; 2 giao dịch cọc 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</si>
</sst>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₫&quot;_-;\-* #,##0.00\ &quot;₫&quot;_-;_-* &quot;-&quot;??\ &quot;₫&quot;_-;_-@_-"/>
    <numFmt numFmtId="164" formatCode="_-* #,##0\ [$₫-42A]_-;\-* #,##0\ [$₫-42A]_-;_-* &quot;-&quot;??\ [$₫-42A]_-;_-@_-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2" borderId="1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21" xfId="1" applyNumberFormat="1" applyFont="1" applyBorder="1" applyAlignment="1">
      <alignment horizontal="center" vertical="center"/>
    </xf>
    <xf numFmtId="164" fontId="0" fillId="0" borderId="22" xfId="1" applyNumberFormat="1" applyFont="1" applyBorder="1" applyAlignment="1">
      <alignment horizontal="center" vertical="center"/>
    </xf>
    <xf numFmtId="164" fontId="0" fillId="0" borderId="23" xfId="1" applyNumberFormat="1" applyFont="1" applyBorder="1" applyAlignment="1">
      <alignment horizontal="center" vertical="center"/>
    </xf>
    <xf numFmtId="164" fontId="0" fillId="0" borderId="24" xfId="1" applyNumberFormat="1" applyFont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164" fontId="0" fillId="0" borderId="17" xfId="1" applyNumberFormat="1" applyFont="1" applyBorder="1" applyAlignment="1">
      <alignment horizontal="center" vertical="center"/>
    </xf>
    <xf numFmtId="164" fontId="0" fillId="0" borderId="20" xfId="1" applyNumberFormat="1" applyFont="1" applyBorder="1" applyAlignment="1">
      <alignment horizontal="center" vertical="center"/>
    </xf>
    <xf numFmtId="164" fontId="0" fillId="0" borderId="21" xfId="1" applyNumberFormat="1" applyFont="1" applyBorder="1" applyAlignment="1">
      <alignment vertical="center"/>
    </xf>
    <xf numFmtId="164" fontId="0" fillId="0" borderId="22" xfId="1" applyNumberFormat="1" applyFont="1" applyBorder="1" applyAlignment="1">
      <alignment vertical="center"/>
    </xf>
    <xf numFmtId="164" fontId="0" fillId="0" borderId="23" xfId="1" applyNumberFormat="1" applyFont="1" applyBorder="1" applyAlignment="1">
      <alignment vertical="center"/>
    </xf>
    <xf numFmtId="164" fontId="0" fillId="0" borderId="24" xfId="1" applyNumberFormat="1" applyFont="1" applyBorder="1" applyAlignment="1">
      <alignment vertical="center"/>
    </xf>
    <xf numFmtId="164" fontId="0" fillId="0" borderId="17" xfId="1" applyNumberFormat="1" applyFont="1" applyBorder="1" applyAlignment="1">
      <alignment vertical="center"/>
    </xf>
    <xf numFmtId="164" fontId="0" fillId="0" borderId="20" xfId="1" applyNumberFormat="1" applyFont="1" applyBorder="1" applyAlignment="1">
      <alignment vertical="center"/>
    </xf>
    <xf numFmtId="164" fontId="0" fillId="0" borderId="18" xfId="0" applyNumberFormat="1" applyBorder="1" applyAlignment="1">
      <alignment vertical="center"/>
    </xf>
    <xf numFmtId="164" fontId="0" fillId="0" borderId="19" xfId="0" applyNumberFormat="1" applyBorder="1" applyAlignment="1">
      <alignment vertical="center"/>
    </xf>
    <xf numFmtId="164" fontId="0" fillId="0" borderId="17" xfId="0" applyNumberFormat="1" applyBorder="1" applyAlignment="1">
      <alignment vertical="center"/>
    </xf>
    <xf numFmtId="164" fontId="0" fillId="0" borderId="20" xfId="0" applyNumberFormat="1" applyBorder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5" borderId="28" xfId="0" applyNumberForma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F4" sqref="F4:G5"/>
    </sheetView>
  </sheetViews>
  <sheetFormatPr defaultColWidth="10.6640625" defaultRowHeight="15.5" x14ac:dyDescent="0.35"/>
  <cols>
    <col min="1" max="1" width="4.58203125" style="1" customWidth="1"/>
    <col min="2" max="2" width="6.75" customWidth="1"/>
    <col min="3" max="3" width="8.83203125" customWidth="1"/>
    <col min="4" max="4" width="24.9140625" style="2" customWidth="1"/>
    <col min="5" max="5" width="0.1640625" style="2" hidden="1" customWidth="1"/>
    <col min="6" max="6" width="13.1640625" customWidth="1"/>
    <col min="7" max="7" width="25.6640625" customWidth="1"/>
    <col min="8" max="8" width="20.6640625" style="2" customWidth="1"/>
    <col min="9" max="9" width="31.33203125" customWidth="1"/>
    <col min="10" max="10" width="3.75" customWidth="1"/>
  </cols>
  <sheetData>
    <row r="1" spans="1:11" s="5" customFormat="1" ht="25.5" customHeight="1" x14ac:dyDescent="0.4">
      <c r="A1" s="35" t="s">
        <v>35</v>
      </c>
      <c r="B1" s="35"/>
      <c r="C1" s="35"/>
      <c r="D1" s="35"/>
      <c r="E1" s="37" t="s">
        <v>15</v>
      </c>
      <c r="F1" s="37"/>
      <c r="G1" s="37"/>
      <c r="H1" s="37"/>
      <c r="I1" s="37"/>
      <c r="J1" s="37"/>
      <c r="K1" s="37"/>
    </row>
    <row r="2" spans="1:11" s="5" customFormat="1" ht="24" customHeight="1" thickBot="1" x14ac:dyDescent="0.45">
      <c r="A2" s="36"/>
      <c r="B2" s="36"/>
      <c r="C2" s="36"/>
      <c r="D2" s="36"/>
      <c r="E2" s="38"/>
      <c r="F2" s="38"/>
      <c r="G2" s="38"/>
      <c r="H2" s="38"/>
      <c r="I2" s="38"/>
      <c r="J2" s="38"/>
      <c r="K2" s="38"/>
    </row>
    <row r="3" spans="1:11" s="4" customFormat="1" ht="30" customHeight="1" thickBot="1" x14ac:dyDescent="0.4">
      <c r="A3" s="6" t="s">
        <v>0</v>
      </c>
      <c r="B3" s="21" t="s">
        <v>1</v>
      </c>
      <c r="C3" s="22"/>
      <c r="D3" s="12" t="s">
        <v>2</v>
      </c>
      <c r="E3" s="13"/>
      <c r="F3" s="10" t="s">
        <v>3</v>
      </c>
      <c r="G3" s="11"/>
      <c r="H3" s="7" t="s">
        <v>4</v>
      </c>
      <c r="I3" s="7" t="s">
        <v>38</v>
      </c>
      <c r="J3" s="14" t="s">
        <v>5</v>
      </c>
      <c r="K3" s="11"/>
    </row>
    <row r="4" spans="1:11" s="3" customFormat="1" ht="68.5" customHeight="1" thickBot="1" x14ac:dyDescent="0.4">
      <c r="A4" s="48">
        <v>1</v>
      </c>
      <c r="B4" s="39" t="s">
        <v>6</v>
      </c>
      <c r="C4" s="40"/>
      <c r="D4" s="49" t="s">
        <v>24</v>
      </c>
      <c r="E4" s="50"/>
      <c r="F4" s="51" t="s">
        <v>25</v>
      </c>
      <c r="G4" s="52"/>
      <c r="H4" s="53" t="s">
        <v>17</v>
      </c>
      <c r="I4" s="59" t="s">
        <v>39</v>
      </c>
      <c r="J4" s="25">
        <v>2500000</v>
      </c>
      <c r="K4" s="26"/>
    </row>
    <row r="5" spans="1:11" ht="11.5" hidden="1" customHeight="1" thickBot="1" x14ac:dyDescent="0.4">
      <c r="A5" s="48"/>
      <c r="B5" s="41"/>
      <c r="C5" s="42"/>
      <c r="D5" s="54"/>
      <c r="E5" s="55"/>
      <c r="F5" s="54"/>
      <c r="G5" s="55"/>
      <c r="H5" s="56"/>
      <c r="I5" s="56" t="s">
        <v>12</v>
      </c>
      <c r="J5" s="27"/>
      <c r="K5" s="28"/>
    </row>
    <row r="6" spans="1:11" ht="82" customHeight="1" x14ac:dyDescent="0.35">
      <c r="A6" s="48"/>
      <c r="B6" s="41"/>
      <c r="C6" s="43"/>
      <c r="D6" s="57" t="s">
        <v>18</v>
      </c>
      <c r="E6" s="57"/>
      <c r="F6" s="58" t="s">
        <v>16</v>
      </c>
      <c r="G6" s="58"/>
      <c r="H6" s="53" t="s">
        <v>17</v>
      </c>
      <c r="I6" s="59" t="s">
        <v>39</v>
      </c>
      <c r="J6" s="29"/>
      <c r="K6" s="30"/>
    </row>
    <row r="7" spans="1:11" ht="66.5" customHeight="1" x14ac:dyDescent="0.35">
      <c r="A7" s="48">
        <v>2</v>
      </c>
      <c r="B7" s="44" t="s">
        <v>7</v>
      </c>
      <c r="C7" s="45"/>
      <c r="D7" s="60" t="s">
        <v>13</v>
      </c>
      <c r="E7" s="61"/>
      <c r="F7" s="58" t="s">
        <v>26</v>
      </c>
      <c r="G7" s="58"/>
      <c r="H7" s="59" t="s">
        <v>20</v>
      </c>
      <c r="I7" s="62" t="s">
        <v>40</v>
      </c>
      <c r="J7" s="31">
        <v>10000000</v>
      </c>
      <c r="K7" s="32"/>
    </row>
    <row r="8" spans="1:11" ht="66" customHeight="1" thickBot="1" x14ac:dyDescent="0.4">
      <c r="A8" s="48"/>
      <c r="B8" s="44"/>
      <c r="C8" s="45"/>
      <c r="D8" s="58" t="s">
        <v>8</v>
      </c>
      <c r="E8" s="58"/>
      <c r="F8" s="58" t="s">
        <v>27</v>
      </c>
      <c r="G8" s="58"/>
      <c r="H8" s="59" t="s">
        <v>21</v>
      </c>
      <c r="I8" s="56" t="s">
        <v>41</v>
      </c>
      <c r="J8" s="33"/>
      <c r="K8" s="34"/>
    </row>
    <row r="9" spans="1:11" ht="110" customHeight="1" x14ac:dyDescent="0.35">
      <c r="A9" s="63">
        <v>3</v>
      </c>
      <c r="B9" s="41" t="s">
        <v>11</v>
      </c>
      <c r="C9" s="43"/>
      <c r="D9" s="60" t="s">
        <v>28</v>
      </c>
      <c r="E9" s="61"/>
      <c r="F9" s="60" t="s">
        <v>29</v>
      </c>
      <c r="G9" s="61"/>
      <c r="H9" s="59" t="s">
        <v>30</v>
      </c>
      <c r="I9" s="59" t="s">
        <v>42</v>
      </c>
      <c r="J9" s="17">
        <v>500000</v>
      </c>
      <c r="K9" s="18"/>
    </row>
    <row r="10" spans="1:11" ht="60" customHeight="1" x14ac:dyDescent="0.35">
      <c r="A10" s="63">
        <v>4</v>
      </c>
      <c r="B10" s="44" t="s">
        <v>9</v>
      </c>
      <c r="C10" s="45"/>
      <c r="D10" s="60" t="s">
        <v>19</v>
      </c>
      <c r="E10" s="61"/>
      <c r="F10" s="58" t="s">
        <v>37</v>
      </c>
      <c r="G10" s="58"/>
      <c r="H10" s="59" t="s">
        <v>31</v>
      </c>
      <c r="I10" s="59" t="s">
        <v>43</v>
      </c>
      <c r="J10" s="19">
        <v>2000000</v>
      </c>
      <c r="K10" s="20"/>
    </row>
    <row r="11" spans="1:11" ht="80" customHeight="1" x14ac:dyDescent="0.35">
      <c r="A11" s="64">
        <v>5</v>
      </c>
      <c r="B11" s="46" t="s">
        <v>10</v>
      </c>
      <c r="C11" s="47"/>
      <c r="D11" s="65" t="s">
        <v>23</v>
      </c>
      <c r="E11" s="65"/>
      <c r="F11" s="65" t="s">
        <v>32</v>
      </c>
      <c r="G11" s="65"/>
      <c r="H11" s="62" t="s">
        <v>33</v>
      </c>
      <c r="I11" s="62" t="s">
        <v>44</v>
      </c>
      <c r="J11" s="23">
        <v>500000</v>
      </c>
      <c r="K11" s="24"/>
    </row>
    <row r="12" spans="1:11" ht="48" customHeight="1" x14ac:dyDescent="0.35">
      <c r="A12" s="63">
        <v>6</v>
      </c>
      <c r="B12" s="42" t="s">
        <v>34</v>
      </c>
      <c r="C12" s="41"/>
      <c r="D12" s="66"/>
      <c r="E12" s="67"/>
      <c r="F12" s="60" t="s">
        <v>45</v>
      </c>
      <c r="G12" s="61"/>
      <c r="H12" s="63"/>
      <c r="I12" s="63"/>
      <c r="J12" s="15"/>
      <c r="K12" s="16"/>
    </row>
    <row r="13" spans="1:11" ht="65" customHeight="1" x14ac:dyDescent="0.35">
      <c r="A13" s="63">
        <v>7</v>
      </c>
      <c r="B13" s="42" t="s">
        <v>14</v>
      </c>
      <c r="C13" s="41"/>
      <c r="D13" s="60" t="s">
        <v>22</v>
      </c>
      <c r="E13" s="61"/>
      <c r="F13" s="66"/>
      <c r="G13" s="67"/>
      <c r="H13" s="63"/>
      <c r="I13" s="59" t="s">
        <v>46</v>
      </c>
      <c r="J13" s="8">
        <v>1000000</v>
      </c>
      <c r="K13" s="9"/>
    </row>
    <row r="14" spans="1:11" ht="54.5" customHeight="1" x14ac:dyDescent="0.35">
      <c r="A14" s="70" t="s">
        <v>36</v>
      </c>
      <c r="B14" s="71"/>
      <c r="C14" s="71"/>
      <c r="D14" s="71"/>
      <c r="E14" s="71"/>
      <c r="F14" s="71"/>
      <c r="G14" s="71"/>
      <c r="H14" s="71"/>
      <c r="I14" s="72"/>
      <c r="J14" s="68">
        <f>SUM(J4:K13)</f>
        <v>16500000</v>
      </c>
      <c r="K14" s="69"/>
    </row>
    <row r="15" spans="1:11" x14ac:dyDescent="0.35">
      <c r="A15" s="73" t="s">
        <v>47</v>
      </c>
      <c r="B15" s="74"/>
      <c r="C15" s="74"/>
      <c r="D15" s="74"/>
      <c r="E15" s="74"/>
      <c r="F15" s="74"/>
      <c r="G15" s="74"/>
      <c r="H15" s="74"/>
      <c r="I15" s="74"/>
      <c r="J15" s="74"/>
      <c r="K15" s="75"/>
    </row>
    <row r="16" spans="1:11" x14ac:dyDescent="0.35">
      <c r="A16" s="76"/>
      <c r="B16" s="77"/>
      <c r="C16" s="77"/>
      <c r="D16" s="77"/>
      <c r="E16" s="77"/>
      <c r="F16" s="77"/>
      <c r="G16" s="77"/>
      <c r="H16" s="77"/>
      <c r="I16" s="77"/>
      <c r="J16" s="77"/>
      <c r="K16" s="78"/>
    </row>
  </sheetData>
  <mergeCells count="43">
    <mergeCell ref="A15:K16"/>
    <mergeCell ref="B11:C11"/>
    <mergeCell ref="F11:G11"/>
    <mergeCell ref="J11:K11"/>
    <mergeCell ref="D11:E11"/>
    <mergeCell ref="J4:K6"/>
    <mergeCell ref="J7:K8"/>
    <mergeCell ref="F7:G7"/>
    <mergeCell ref="F8:G8"/>
    <mergeCell ref="F9:G9"/>
    <mergeCell ref="J9:K9"/>
    <mergeCell ref="B10:C10"/>
    <mergeCell ref="D10:E10"/>
    <mergeCell ref="F10:G10"/>
    <mergeCell ref="J10:K10"/>
    <mergeCell ref="D9:E9"/>
    <mergeCell ref="B9:C9"/>
    <mergeCell ref="B13:C13"/>
    <mergeCell ref="D13:E13"/>
    <mergeCell ref="J12:K12"/>
    <mergeCell ref="B12:C12"/>
    <mergeCell ref="D12:E12"/>
    <mergeCell ref="F12:G12"/>
    <mergeCell ref="J3:K3"/>
    <mergeCell ref="A7:A8"/>
    <mergeCell ref="B7:C8"/>
    <mergeCell ref="D7:E7"/>
    <mergeCell ref="D8:E8"/>
    <mergeCell ref="B3:C3"/>
    <mergeCell ref="B4:C6"/>
    <mergeCell ref="F3:G3"/>
    <mergeCell ref="A1:D2"/>
    <mergeCell ref="D3:E3"/>
    <mergeCell ref="A4:A6"/>
    <mergeCell ref="D6:E6"/>
    <mergeCell ref="F6:G6"/>
    <mergeCell ref="D4:E5"/>
    <mergeCell ref="F4:G5"/>
    <mergeCell ref="E1:K2"/>
    <mergeCell ref="J14:K14"/>
    <mergeCell ref="F13:G13"/>
    <mergeCell ref="J13:K13"/>
    <mergeCell ref="A14:I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làm việc tháng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Trong Nguyen</dc:creator>
  <cp:lastModifiedBy>pc</cp:lastModifiedBy>
  <dcterms:created xsi:type="dcterms:W3CDTF">2018-05-22T03:20:44Z</dcterms:created>
  <dcterms:modified xsi:type="dcterms:W3CDTF">2019-06-04T15:53:04Z</dcterms:modified>
</cp:coreProperties>
</file>